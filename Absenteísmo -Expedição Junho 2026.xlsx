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1_EXPEDITION\18_ Relatorio diario\1_Absenteismo\"/>
    </mc:Choice>
  </mc:AlternateContent>
  <xr:revisionPtr revIDLastSave="0" documentId="13_ncr:1_{8EE5A247-4FC1-4D47-BA94-FE8C3188F835}" xr6:coauthVersionLast="47" xr6:coauthVersionMax="47" xr10:uidLastSave="{00000000-0000-0000-0000-000000000000}"/>
  <bookViews>
    <workbookView xWindow="-120" yWindow="-120" windowWidth="29040" windowHeight="15720" tabRatio="599" firstSheet="1" activeTab="1" xr2:uid="{AA454C1E-F888-4097-98FE-5B2A9C7B1F59}"/>
  </bookViews>
  <sheets>
    <sheet name="RESUMO" sheetId="12" r:id="rId1"/>
    <sheet name="JUNHO" sheetId="18" r:id="rId2"/>
    <sheet name="JULHO" sheetId="19" r:id="rId3"/>
  </sheets>
  <definedNames>
    <definedName name="_xlnm._FilterDatabase" localSheetId="2" hidden="1">JULHO!$B$5:$D$118</definedName>
    <definedName name="_xlnm._FilterDatabase" localSheetId="1" hidden="1">JUNHO!$B$5:$D$118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8" i="19" l="1"/>
  <c r="O129" i="19"/>
  <c r="M106" i="19"/>
  <c r="L106" i="19"/>
  <c r="K106" i="19"/>
  <c r="J106" i="19"/>
  <c r="I106" i="19"/>
  <c r="H106" i="19"/>
  <c r="G106" i="19"/>
  <c r="F106" i="19"/>
  <c r="AQ123" i="19"/>
  <c r="AQ124" i="19"/>
  <c r="AQ125" i="19"/>
  <c r="AQ126" i="19"/>
  <c r="AQ127" i="19"/>
  <c r="AQ128" i="19"/>
  <c r="AQ129" i="19"/>
  <c r="AR122" i="19"/>
  <c r="AS122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AP125" i="19"/>
  <c r="AO125" i="19"/>
  <c r="AN125" i="19"/>
  <c r="AM125" i="19"/>
  <c r="AL125" i="19"/>
  <c r="AK125" i="19"/>
  <c r="AJ125" i="19"/>
  <c r="AI125" i="19"/>
  <c r="AH125" i="19"/>
  <c r="AG125" i="19"/>
  <c r="AF125" i="19"/>
  <c r="AE125" i="19"/>
  <c r="AD125" i="19"/>
  <c r="AC125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AP124" i="19"/>
  <c r="AO124" i="19"/>
  <c r="AN124" i="19"/>
  <c r="AM124" i="19"/>
  <c r="AL124" i="19"/>
  <c r="AK124" i="19"/>
  <c r="AJ124" i="19"/>
  <c r="AI124" i="19"/>
  <c r="AH124" i="19"/>
  <c r="AG124" i="19"/>
  <c r="AF124" i="19"/>
  <c r="AE124" i="19"/>
  <c r="AD124" i="19"/>
  <c r="AC124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AP123" i="19"/>
  <c r="AO123" i="19"/>
  <c r="AN123" i="19"/>
  <c r="AM123" i="19"/>
  <c r="AL123" i="19"/>
  <c r="AK123" i="19"/>
  <c r="AJ123" i="19"/>
  <c r="AI123" i="19"/>
  <c r="AH123" i="19"/>
  <c r="AG123" i="19"/>
  <c r="AF123" i="19"/>
  <c r="AE123" i="19"/>
  <c r="AD123" i="19"/>
  <c r="AC123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M118" i="19"/>
  <c r="L118" i="19"/>
  <c r="K118" i="19"/>
  <c r="J118" i="19"/>
  <c r="I118" i="19"/>
  <c r="H118" i="19"/>
  <c r="G118" i="19"/>
  <c r="F118" i="19"/>
  <c r="M117" i="19"/>
  <c r="L117" i="19"/>
  <c r="K117" i="19"/>
  <c r="J117" i="19"/>
  <c r="I117" i="19"/>
  <c r="H117" i="19"/>
  <c r="G117" i="19"/>
  <c r="F117" i="19"/>
  <c r="M116" i="19"/>
  <c r="L116" i="19"/>
  <c r="K116" i="19"/>
  <c r="J116" i="19"/>
  <c r="I116" i="19"/>
  <c r="H116" i="19"/>
  <c r="G116" i="19"/>
  <c r="F116" i="19"/>
  <c r="M115" i="19"/>
  <c r="L115" i="19"/>
  <c r="K115" i="19"/>
  <c r="J115" i="19"/>
  <c r="I115" i="19"/>
  <c r="H115" i="19"/>
  <c r="G115" i="19"/>
  <c r="F115" i="19"/>
  <c r="M114" i="19"/>
  <c r="L114" i="19"/>
  <c r="K114" i="19"/>
  <c r="J114" i="19"/>
  <c r="I114" i="19"/>
  <c r="H114" i="19"/>
  <c r="G114" i="19"/>
  <c r="F114" i="19"/>
  <c r="M113" i="19"/>
  <c r="L113" i="19"/>
  <c r="K113" i="19"/>
  <c r="J113" i="19"/>
  <c r="I113" i="19"/>
  <c r="H113" i="19"/>
  <c r="G113" i="19"/>
  <c r="F113" i="19"/>
  <c r="M112" i="19"/>
  <c r="L112" i="19"/>
  <c r="K112" i="19"/>
  <c r="J112" i="19"/>
  <c r="I112" i="19"/>
  <c r="H112" i="19"/>
  <c r="G112" i="19"/>
  <c r="F112" i="19"/>
  <c r="M111" i="19"/>
  <c r="L111" i="19"/>
  <c r="K111" i="19"/>
  <c r="J111" i="19"/>
  <c r="I111" i="19"/>
  <c r="H111" i="19"/>
  <c r="G111" i="19"/>
  <c r="F111" i="19"/>
  <c r="M110" i="19"/>
  <c r="L110" i="19"/>
  <c r="K110" i="19"/>
  <c r="J110" i="19"/>
  <c r="I110" i="19"/>
  <c r="H110" i="19"/>
  <c r="G110" i="19"/>
  <c r="F110" i="19"/>
  <c r="M109" i="19"/>
  <c r="L109" i="19"/>
  <c r="K109" i="19"/>
  <c r="J109" i="19"/>
  <c r="I109" i="19"/>
  <c r="H109" i="19"/>
  <c r="G109" i="19"/>
  <c r="F109" i="19"/>
  <c r="M108" i="19"/>
  <c r="L108" i="19"/>
  <c r="K108" i="19"/>
  <c r="J108" i="19"/>
  <c r="I108" i="19"/>
  <c r="H108" i="19"/>
  <c r="G108" i="19"/>
  <c r="F108" i="19"/>
  <c r="M107" i="19"/>
  <c r="L107" i="19"/>
  <c r="K107" i="19"/>
  <c r="J107" i="19"/>
  <c r="I107" i="19"/>
  <c r="H107" i="19"/>
  <c r="G107" i="19"/>
  <c r="F107" i="19"/>
  <c r="M105" i="19"/>
  <c r="L105" i="19"/>
  <c r="K105" i="19"/>
  <c r="J105" i="19"/>
  <c r="I105" i="19"/>
  <c r="H105" i="19"/>
  <c r="G105" i="19"/>
  <c r="F105" i="19"/>
  <c r="M104" i="19"/>
  <c r="L104" i="19"/>
  <c r="K104" i="19"/>
  <c r="J104" i="19"/>
  <c r="I104" i="19"/>
  <c r="H104" i="19"/>
  <c r="G104" i="19"/>
  <c r="F104" i="19"/>
  <c r="M103" i="19"/>
  <c r="L103" i="19"/>
  <c r="K103" i="19"/>
  <c r="J103" i="19"/>
  <c r="I103" i="19"/>
  <c r="H103" i="19"/>
  <c r="G103" i="19"/>
  <c r="F103" i="19"/>
  <c r="M102" i="19"/>
  <c r="L102" i="19"/>
  <c r="K102" i="19"/>
  <c r="J102" i="19"/>
  <c r="I102" i="19"/>
  <c r="H102" i="19"/>
  <c r="G102" i="19"/>
  <c r="F102" i="19"/>
  <c r="M101" i="19"/>
  <c r="L101" i="19"/>
  <c r="K101" i="19"/>
  <c r="J101" i="19"/>
  <c r="I101" i="19"/>
  <c r="H101" i="19"/>
  <c r="G101" i="19"/>
  <c r="F101" i="19"/>
  <c r="M100" i="19"/>
  <c r="L100" i="19"/>
  <c r="K100" i="19"/>
  <c r="J100" i="19"/>
  <c r="I100" i="19"/>
  <c r="H100" i="19"/>
  <c r="G100" i="19"/>
  <c r="F100" i="19"/>
  <c r="M99" i="19"/>
  <c r="L99" i="19"/>
  <c r="K99" i="19"/>
  <c r="J99" i="19"/>
  <c r="I99" i="19"/>
  <c r="H99" i="19"/>
  <c r="G99" i="19"/>
  <c r="F99" i="19"/>
  <c r="M98" i="19"/>
  <c r="L98" i="19"/>
  <c r="K98" i="19"/>
  <c r="J98" i="19"/>
  <c r="I98" i="19"/>
  <c r="H98" i="19"/>
  <c r="G98" i="19"/>
  <c r="F98" i="19"/>
  <c r="M97" i="19"/>
  <c r="L97" i="19"/>
  <c r="K97" i="19"/>
  <c r="J97" i="19"/>
  <c r="I97" i="19"/>
  <c r="H97" i="19"/>
  <c r="G97" i="19"/>
  <c r="F97" i="19"/>
  <c r="M96" i="19"/>
  <c r="L96" i="19"/>
  <c r="K96" i="19"/>
  <c r="J96" i="19"/>
  <c r="I96" i="19"/>
  <c r="H96" i="19"/>
  <c r="G96" i="19"/>
  <c r="F96" i="19"/>
  <c r="M95" i="19"/>
  <c r="L95" i="19"/>
  <c r="K95" i="19"/>
  <c r="J95" i="19"/>
  <c r="I95" i="19"/>
  <c r="H95" i="19"/>
  <c r="G95" i="19"/>
  <c r="F95" i="19"/>
  <c r="M94" i="19"/>
  <c r="L94" i="19"/>
  <c r="K94" i="19"/>
  <c r="J94" i="19"/>
  <c r="I94" i="19"/>
  <c r="H94" i="19"/>
  <c r="G94" i="19"/>
  <c r="F94" i="19"/>
  <c r="M93" i="19"/>
  <c r="L93" i="19"/>
  <c r="K93" i="19"/>
  <c r="J93" i="19"/>
  <c r="I93" i="19"/>
  <c r="H93" i="19"/>
  <c r="G93" i="19"/>
  <c r="F93" i="19"/>
  <c r="M92" i="19"/>
  <c r="L92" i="19"/>
  <c r="K92" i="19"/>
  <c r="J92" i="19"/>
  <c r="I92" i="19"/>
  <c r="H92" i="19"/>
  <c r="G92" i="19"/>
  <c r="F92" i="19"/>
  <c r="M91" i="19"/>
  <c r="L91" i="19"/>
  <c r="K91" i="19"/>
  <c r="J91" i="19"/>
  <c r="I91" i="19"/>
  <c r="H91" i="19"/>
  <c r="G91" i="19"/>
  <c r="F91" i="19"/>
  <c r="M90" i="19"/>
  <c r="L90" i="19"/>
  <c r="K90" i="19"/>
  <c r="J90" i="19"/>
  <c r="I90" i="19"/>
  <c r="H90" i="19"/>
  <c r="G90" i="19"/>
  <c r="F90" i="19"/>
  <c r="M89" i="19"/>
  <c r="L89" i="19"/>
  <c r="K89" i="19"/>
  <c r="J89" i="19"/>
  <c r="I89" i="19"/>
  <c r="H89" i="19"/>
  <c r="G89" i="19"/>
  <c r="F89" i="19"/>
  <c r="M88" i="19"/>
  <c r="L88" i="19"/>
  <c r="K88" i="19"/>
  <c r="J88" i="19"/>
  <c r="I88" i="19"/>
  <c r="H88" i="19"/>
  <c r="G88" i="19"/>
  <c r="F88" i="19"/>
  <c r="M87" i="19"/>
  <c r="L87" i="19"/>
  <c r="K87" i="19"/>
  <c r="J87" i="19"/>
  <c r="I87" i="19"/>
  <c r="H87" i="19"/>
  <c r="G87" i="19"/>
  <c r="F87" i="19"/>
  <c r="M86" i="19"/>
  <c r="L86" i="19"/>
  <c r="K86" i="19"/>
  <c r="J86" i="19"/>
  <c r="I86" i="19"/>
  <c r="H86" i="19"/>
  <c r="G86" i="19"/>
  <c r="F86" i="19"/>
  <c r="M85" i="19"/>
  <c r="L85" i="19"/>
  <c r="K85" i="19"/>
  <c r="J85" i="19"/>
  <c r="I85" i="19"/>
  <c r="H85" i="19"/>
  <c r="G85" i="19"/>
  <c r="F85" i="19"/>
  <c r="M84" i="19"/>
  <c r="L84" i="19"/>
  <c r="K84" i="19"/>
  <c r="J84" i="19"/>
  <c r="I84" i="19"/>
  <c r="H84" i="19"/>
  <c r="G84" i="19"/>
  <c r="F84" i="19"/>
  <c r="M83" i="19"/>
  <c r="L83" i="19"/>
  <c r="K83" i="19"/>
  <c r="J83" i="19"/>
  <c r="I83" i="19"/>
  <c r="H83" i="19"/>
  <c r="G83" i="19"/>
  <c r="F83" i="19"/>
  <c r="M82" i="19"/>
  <c r="L82" i="19"/>
  <c r="K82" i="19"/>
  <c r="J82" i="19"/>
  <c r="I82" i="19"/>
  <c r="H82" i="19"/>
  <c r="G82" i="19"/>
  <c r="F82" i="19"/>
  <c r="M81" i="19"/>
  <c r="L81" i="19"/>
  <c r="K81" i="19"/>
  <c r="J81" i="19"/>
  <c r="I81" i="19"/>
  <c r="H81" i="19"/>
  <c r="G81" i="19"/>
  <c r="F81" i="19"/>
  <c r="M80" i="19"/>
  <c r="L80" i="19"/>
  <c r="K80" i="19"/>
  <c r="J80" i="19"/>
  <c r="I80" i="19"/>
  <c r="H80" i="19"/>
  <c r="G80" i="19"/>
  <c r="F80" i="19"/>
  <c r="M79" i="19"/>
  <c r="L79" i="19"/>
  <c r="K79" i="19"/>
  <c r="J79" i="19"/>
  <c r="I79" i="19"/>
  <c r="H79" i="19"/>
  <c r="G79" i="19"/>
  <c r="F79" i="19"/>
  <c r="M78" i="19"/>
  <c r="L78" i="19"/>
  <c r="K78" i="19"/>
  <c r="J78" i="19"/>
  <c r="I78" i="19"/>
  <c r="H78" i="19"/>
  <c r="G78" i="19"/>
  <c r="F78" i="19"/>
  <c r="M77" i="19"/>
  <c r="L77" i="19"/>
  <c r="K77" i="19"/>
  <c r="J77" i="19"/>
  <c r="I77" i="19"/>
  <c r="H77" i="19"/>
  <c r="G77" i="19"/>
  <c r="F77" i="19"/>
  <c r="M76" i="19"/>
  <c r="L76" i="19"/>
  <c r="K76" i="19"/>
  <c r="J76" i="19"/>
  <c r="I76" i="19"/>
  <c r="H76" i="19"/>
  <c r="G76" i="19"/>
  <c r="F76" i="19"/>
  <c r="M75" i="19"/>
  <c r="L75" i="19"/>
  <c r="K75" i="19"/>
  <c r="J75" i="19"/>
  <c r="I75" i="19"/>
  <c r="H75" i="19"/>
  <c r="G75" i="19"/>
  <c r="F75" i="19"/>
  <c r="M74" i="19"/>
  <c r="L74" i="19"/>
  <c r="K74" i="19"/>
  <c r="J74" i="19"/>
  <c r="I74" i="19"/>
  <c r="H74" i="19"/>
  <c r="G74" i="19"/>
  <c r="F74" i="19"/>
  <c r="M73" i="19"/>
  <c r="L73" i="19"/>
  <c r="K73" i="19"/>
  <c r="J73" i="19"/>
  <c r="I73" i="19"/>
  <c r="H73" i="19"/>
  <c r="G73" i="19"/>
  <c r="F73" i="19"/>
  <c r="M72" i="19"/>
  <c r="L72" i="19"/>
  <c r="K72" i="19"/>
  <c r="J72" i="19"/>
  <c r="I72" i="19"/>
  <c r="H72" i="19"/>
  <c r="G72" i="19"/>
  <c r="F72" i="19"/>
  <c r="M71" i="19"/>
  <c r="L71" i="19"/>
  <c r="K71" i="19"/>
  <c r="J71" i="19"/>
  <c r="I71" i="19"/>
  <c r="H71" i="19"/>
  <c r="G71" i="19"/>
  <c r="F71" i="19"/>
  <c r="M70" i="19"/>
  <c r="L70" i="19"/>
  <c r="K70" i="19"/>
  <c r="J70" i="19"/>
  <c r="I70" i="19"/>
  <c r="H70" i="19"/>
  <c r="G70" i="19"/>
  <c r="F70" i="19"/>
  <c r="M69" i="19"/>
  <c r="L69" i="19"/>
  <c r="K69" i="19"/>
  <c r="J69" i="19"/>
  <c r="I69" i="19"/>
  <c r="H69" i="19"/>
  <c r="G69" i="19"/>
  <c r="F69" i="19"/>
  <c r="M68" i="19"/>
  <c r="L68" i="19"/>
  <c r="K68" i="19"/>
  <c r="J68" i="19"/>
  <c r="I68" i="19"/>
  <c r="H68" i="19"/>
  <c r="G68" i="19"/>
  <c r="F68" i="19"/>
  <c r="M67" i="19"/>
  <c r="L67" i="19"/>
  <c r="K67" i="19"/>
  <c r="J67" i="19"/>
  <c r="I67" i="19"/>
  <c r="H67" i="19"/>
  <c r="G67" i="19"/>
  <c r="F67" i="19"/>
  <c r="M66" i="19"/>
  <c r="L66" i="19"/>
  <c r="K66" i="19"/>
  <c r="J66" i="19"/>
  <c r="I66" i="19"/>
  <c r="H66" i="19"/>
  <c r="G66" i="19"/>
  <c r="F66" i="19"/>
  <c r="M65" i="19"/>
  <c r="L65" i="19"/>
  <c r="K65" i="19"/>
  <c r="J65" i="19"/>
  <c r="I65" i="19"/>
  <c r="H65" i="19"/>
  <c r="G65" i="19"/>
  <c r="F65" i="19"/>
  <c r="M64" i="19"/>
  <c r="L64" i="19"/>
  <c r="K64" i="19"/>
  <c r="J64" i="19"/>
  <c r="I64" i="19"/>
  <c r="H64" i="19"/>
  <c r="G64" i="19"/>
  <c r="F64" i="19"/>
  <c r="M63" i="19"/>
  <c r="L63" i="19"/>
  <c r="K63" i="19"/>
  <c r="J63" i="19"/>
  <c r="I63" i="19"/>
  <c r="H63" i="19"/>
  <c r="G63" i="19"/>
  <c r="F63" i="19"/>
  <c r="M62" i="19"/>
  <c r="L62" i="19"/>
  <c r="K62" i="19"/>
  <c r="J62" i="19"/>
  <c r="I62" i="19"/>
  <c r="H62" i="19"/>
  <c r="G62" i="19"/>
  <c r="F62" i="19"/>
  <c r="M61" i="19"/>
  <c r="L61" i="19"/>
  <c r="K61" i="19"/>
  <c r="J61" i="19"/>
  <c r="I61" i="19"/>
  <c r="H61" i="19"/>
  <c r="G61" i="19"/>
  <c r="F61" i="19"/>
  <c r="M60" i="19"/>
  <c r="L60" i="19"/>
  <c r="K60" i="19"/>
  <c r="J60" i="19"/>
  <c r="I60" i="19"/>
  <c r="H60" i="19"/>
  <c r="G60" i="19"/>
  <c r="F60" i="19"/>
  <c r="M59" i="19"/>
  <c r="L59" i="19"/>
  <c r="K59" i="19"/>
  <c r="J59" i="19"/>
  <c r="I59" i="19"/>
  <c r="H59" i="19"/>
  <c r="G59" i="19"/>
  <c r="F59" i="19"/>
  <c r="M58" i="19"/>
  <c r="L58" i="19"/>
  <c r="K58" i="19"/>
  <c r="J58" i="19"/>
  <c r="I58" i="19"/>
  <c r="H58" i="19"/>
  <c r="G58" i="19"/>
  <c r="F58" i="19"/>
  <c r="M57" i="19"/>
  <c r="L57" i="19"/>
  <c r="K57" i="19"/>
  <c r="J57" i="19"/>
  <c r="I57" i="19"/>
  <c r="H57" i="19"/>
  <c r="G57" i="19"/>
  <c r="F57" i="19"/>
  <c r="M56" i="19"/>
  <c r="L56" i="19"/>
  <c r="K56" i="19"/>
  <c r="J56" i="19"/>
  <c r="I56" i="19"/>
  <c r="H56" i="19"/>
  <c r="G56" i="19"/>
  <c r="F56" i="19"/>
  <c r="M55" i="19"/>
  <c r="L55" i="19"/>
  <c r="K55" i="19"/>
  <c r="J55" i="19"/>
  <c r="I55" i="19"/>
  <c r="H55" i="19"/>
  <c r="G55" i="19"/>
  <c r="F55" i="19"/>
  <c r="M54" i="19"/>
  <c r="L54" i="19"/>
  <c r="K54" i="19"/>
  <c r="J54" i="19"/>
  <c r="I54" i="19"/>
  <c r="H54" i="19"/>
  <c r="G54" i="19"/>
  <c r="F54" i="19"/>
  <c r="M53" i="19"/>
  <c r="L53" i="19"/>
  <c r="K53" i="19"/>
  <c r="J53" i="19"/>
  <c r="I53" i="19"/>
  <c r="H53" i="19"/>
  <c r="G53" i="19"/>
  <c r="F53" i="19"/>
  <c r="M52" i="19"/>
  <c r="L52" i="19"/>
  <c r="K52" i="19"/>
  <c r="J52" i="19"/>
  <c r="I52" i="19"/>
  <c r="H52" i="19"/>
  <c r="G52" i="19"/>
  <c r="F52" i="19"/>
  <c r="M51" i="19"/>
  <c r="L51" i="19"/>
  <c r="K51" i="19"/>
  <c r="J51" i="19"/>
  <c r="I51" i="19"/>
  <c r="H51" i="19"/>
  <c r="G51" i="19"/>
  <c r="F51" i="19"/>
  <c r="M50" i="19"/>
  <c r="L50" i="19"/>
  <c r="K50" i="19"/>
  <c r="J50" i="19"/>
  <c r="I50" i="19"/>
  <c r="H50" i="19"/>
  <c r="G50" i="19"/>
  <c r="F50" i="19"/>
  <c r="M49" i="19"/>
  <c r="L49" i="19"/>
  <c r="K49" i="19"/>
  <c r="J49" i="19"/>
  <c r="I49" i="19"/>
  <c r="H49" i="19"/>
  <c r="G49" i="19"/>
  <c r="F49" i="19"/>
  <c r="M48" i="19"/>
  <c r="L48" i="19"/>
  <c r="K48" i="19"/>
  <c r="J48" i="19"/>
  <c r="I48" i="19"/>
  <c r="H48" i="19"/>
  <c r="G48" i="19"/>
  <c r="F48" i="19"/>
  <c r="M47" i="19"/>
  <c r="L47" i="19"/>
  <c r="K47" i="19"/>
  <c r="J47" i="19"/>
  <c r="I47" i="19"/>
  <c r="H47" i="19"/>
  <c r="G47" i="19"/>
  <c r="F47" i="19"/>
  <c r="M46" i="19"/>
  <c r="L46" i="19"/>
  <c r="K46" i="19"/>
  <c r="J46" i="19"/>
  <c r="I46" i="19"/>
  <c r="H46" i="19"/>
  <c r="G46" i="19"/>
  <c r="F46" i="19"/>
  <c r="M45" i="19"/>
  <c r="L45" i="19"/>
  <c r="K45" i="19"/>
  <c r="J45" i="19"/>
  <c r="I45" i="19"/>
  <c r="H45" i="19"/>
  <c r="G45" i="19"/>
  <c r="F45" i="19"/>
  <c r="M44" i="19"/>
  <c r="L44" i="19"/>
  <c r="K44" i="19"/>
  <c r="J44" i="19"/>
  <c r="I44" i="19"/>
  <c r="H44" i="19"/>
  <c r="G44" i="19"/>
  <c r="F44" i="19"/>
  <c r="M43" i="19"/>
  <c r="L43" i="19"/>
  <c r="K43" i="19"/>
  <c r="J43" i="19"/>
  <c r="I43" i="19"/>
  <c r="H43" i="19"/>
  <c r="G43" i="19"/>
  <c r="F43" i="19"/>
  <c r="M42" i="19"/>
  <c r="L42" i="19"/>
  <c r="K42" i="19"/>
  <c r="J42" i="19"/>
  <c r="I42" i="19"/>
  <c r="H42" i="19"/>
  <c r="G42" i="19"/>
  <c r="F42" i="19"/>
  <c r="M41" i="19"/>
  <c r="L41" i="19"/>
  <c r="K41" i="19"/>
  <c r="J41" i="19"/>
  <c r="I41" i="19"/>
  <c r="H41" i="19"/>
  <c r="G41" i="19"/>
  <c r="F41" i="19"/>
  <c r="M40" i="19"/>
  <c r="L40" i="19"/>
  <c r="K40" i="19"/>
  <c r="J40" i="19"/>
  <c r="I40" i="19"/>
  <c r="H40" i="19"/>
  <c r="G40" i="19"/>
  <c r="F40" i="19"/>
  <c r="M39" i="19"/>
  <c r="L39" i="19"/>
  <c r="K39" i="19"/>
  <c r="J39" i="19"/>
  <c r="I39" i="19"/>
  <c r="H39" i="19"/>
  <c r="G39" i="19"/>
  <c r="F39" i="19"/>
  <c r="M38" i="19"/>
  <c r="L38" i="19"/>
  <c r="K38" i="19"/>
  <c r="J38" i="19"/>
  <c r="I38" i="19"/>
  <c r="H38" i="19"/>
  <c r="G38" i="19"/>
  <c r="F38" i="19"/>
  <c r="M37" i="19"/>
  <c r="L37" i="19"/>
  <c r="K37" i="19"/>
  <c r="J37" i="19"/>
  <c r="I37" i="19"/>
  <c r="H37" i="19"/>
  <c r="G37" i="19"/>
  <c r="F37" i="19"/>
  <c r="M36" i="19"/>
  <c r="L36" i="19"/>
  <c r="K36" i="19"/>
  <c r="J36" i="19"/>
  <c r="I36" i="19"/>
  <c r="H36" i="19"/>
  <c r="G36" i="19"/>
  <c r="F36" i="19"/>
  <c r="M35" i="19"/>
  <c r="L35" i="19"/>
  <c r="K35" i="19"/>
  <c r="J35" i="19"/>
  <c r="I35" i="19"/>
  <c r="H35" i="19"/>
  <c r="G35" i="19"/>
  <c r="F35" i="19"/>
  <c r="M34" i="19"/>
  <c r="L34" i="19"/>
  <c r="K34" i="19"/>
  <c r="J34" i="19"/>
  <c r="I34" i="19"/>
  <c r="H34" i="19"/>
  <c r="G34" i="19"/>
  <c r="F34" i="19"/>
  <c r="M33" i="19"/>
  <c r="L33" i="19"/>
  <c r="K33" i="19"/>
  <c r="J33" i="19"/>
  <c r="I33" i="19"/>
  <c r="H33" i="19"/>
  <c r="G33" i="19"/>
  <c r="F33" i="19"/>
  <c r="M32" i="19"/>
  <c r="L32" i="19"/>
  <c r="K32" i="19"/>
  <c r="J32" i="19"/>
  <c r="I32" i="19"/>
  <c r="H32" i="19"/>
  <c r="G32" i="19"/>
  <c r="F32" i="19"/>
  <c r="M31" i="19"/>
  <c r="L31" i="19"/>
  <c r="K31" i="19"/>
  <c r="J31" i="19"/>
  <c r="I31" i="19"/>
  <c r="H31" i="19"/>
  <c r="G31" i="19"/>
  <c r="F31" i="19"/>
  <c r="M30" i="19"/>
  <c r="L30" i="19"/>
  <c r="K30" i="19"/>
  <c r="J30" i="19"/>
  <c r="I30" i="19"/>
  <c r="H30" i="19"/>
  <c r="G30" i="19"/>
  <c r="F30" i="19"/>
  <c r="M29" i="19"/>
  <c r="L29" i="19"/>
  <c r="K29" i="19"/>
  <c r="J29" i="19"/>
  <c r="I29" i="19"/>
  <c r="H29" i="19"/>
  <c r="G29" i="19"/>
  <c r="F29" i="19"/>
  <c r="M28" i="19"/>
  <c r="L28" i="19"/>
  <c r="K28" i="19"/>
  <c r="J28" i="19"/>
  <c r="I28" i="19"/>
  <c r="H28" i="19"/>
  <c r="G28" i="19"/>
  <c r="F28" i="19"/>
  <c r="M27" i="19"/>
  <c r="L27" i="19"/>
  <c r="K27" i="19"/>
  <c r="J27" i="19"/>
  <c r="I27" i="19"/>
  <c r="H27" i="19"/>
  <c r="G27" i="19"/>
  <c r="F27" i="19"/>
  <c r="M26" i="19"/>
  <c r="L26" i="19"/>
  <c r="K26" i="19"/>
  <c r="J26" i="19"/>
  <c r="I26" i="19"/>
  <c r="H26" i="19"/>
  <c r="G26" i="19"/>
  <c r="F26" i="19"/>
  <c r="M25" i="19"/>
  <c r="L25" i="19"/>
  <c r="K25" i="19"/>
  <c r="J25" i="19"/>
  <c r="I25" i="19"/>
  <c r="H25" i="19"/>
  <c r="G25" i="19"/>
  <c r="F25" i="19"/>
  <c r="M24" i="19"/>
  <c r="L24" i="19"/>
  <c r="K24" i="19"/>
  <c r="J24" i="19"/>
  <c r="I24" i="19"/>
  <c r="H24" i="19"/>
  <c r="G24" i="19"/>
  <c r="F24" i="19"/>
  <c r="M23" i="19"/>
  <c r="L23" i="19"/>
  <c r="K23" i="19"/>
  <c r="J23" i="19"/>
  <c r="I23" i="19"/>
  <c r="H23" i="19"/>
  <c r="G23" i="19"/>
  <c r="F23" i="19"/>
  <c r="M22" i="19"/>
  <c r="L22" i="19"/>
  <c r="K22" i="19"/>
  <c r="J22" i="19"/>
  <c r="I22" i="19"/>
  <c r="H22" i="19"/>
  <c r="G22" i="19"/>
  <c r="F22" i="19"/>
  <c r="M21" i="19"/>
  <c r="L21" i="19"/>
  <c r="K21" i="19"/>
  <c r="J21" i="19"/>
  <c r="I21" i="19"/>
  <c r="H21" i="19"/>
  <c r="G21" i="19"/>
  <c r="F21" i="19"/>
  <c r="M20" i="19"/>
  <c r="L20" i="19"/>
  <c r="K20" i="19"/>
  <c r="J20" i="19"/>
  <c r="I20" i="19"/>
  <c r="H20" i="19"/>
  <c r="G20" i="19"/>
  <c r="F20" i="19"/>
  <c r="M19" i="19"/>
  <c r="L19" i="19"/>
  <c r="K19" i="19"/>
  <c r="J19" i="19"/>
  <c r="I19" i="19"/>
  <c r="H19" i="19"/>
  <c r="G19" i="19"/>
  <c r="F19" i="19"/>
  <c r="M18" i="19"/>
  <c r="L18" i="19"/>
  <c r="K18" i="19"/>
  <c r="J18" i="19"/>
  <c r="I18" i="19"/>
  <c r="H18" i="19"/>
  <c r="G18" i="19"/>
  <c r="F18" i="19"/>
  <c r="M17" i="19"/>
  <c r="L17" i="19"/>
  <c r="K17" i="19"/>
  <c r="J17" i="19"/>
  <c r="I17" i="19"/>
  <c r="H17" i="19"/>
  <c r="G17" i="19"/>
  <c r="F17" i="19"/>
  <c r="M16" i="19"/>
  <c r="L16" i="19"/>
  <c r="K16" i="19"/>
  <c r="J16" i="19"/>
  <c r="I16" i="19"/>
  <c r="H16" i="19"/>
  <c r="G16" i="19"/>
  <c r="F16" i="19"/>
  <c r="M15" i="19"/>
  <c r="L15" i="19"/>
  <c r="K15" i="19"/>
  <c r="J15" i="19"/>
  <c r="I15" i="19"/>
  <c r="H15" i="19"/>
  <c r="G15" i="19"/>
  <c r="F15" i="19"/>
  <c r="M14" i="19"/>
  <c r="L14" i="19"/>
  <c r="K14" i="19"/>
  <c r="J14" i="19"/>
  <c r="I14" i="19"/>
  <c r="H14" i="19"/>
  <c r="G14" i="19"/>
  <c r="F14" i="19"/>
  <c r="M13" i="19"/>
  <c r="L13" i="19"/>
  <c r="K13" i="19"/>
  <c r="J13" i="19"/>
  <c r="I13" i="19"/>
  <c r="H13" i="19"/>
  <c r="G13" i="19"/>
  <c r="F13" i="19"/>
  <c r="M12" i="19"/>
  <c r="L12" i="19"/>
  <c r="K12" i="19"/>
  <c r="J12" i="19"/>
  <c r="I12" i="19"/>
  <c r="H12" i="19"/>
  <c r="G12" i="19"/>
  <c r="F12" i="19"/>
  <c r="M11" i="19"/>
  <c r="L11" i="19"/>
  <c r="K11" i="19"/>
  <c r="J11" i="19"/>
  <c r="I11" i="19"/>
  <c r="H11" i="19"/>
  <c r="G11" i="19"/>
  <c r="F11" i="19"/>
  <c r="M10" i="19"/>
  <c r="L10" i="19"/>
  <c r="K10" i="19"/>
  <c r="J10" i="19"/>
  <c r="I10" i="19"/>
  <c r="H10" i="19"/>
  <c r="G10" i="19"/>
  <c r="F10" i="19"/>
  <c r="M9" i="19"/>
  <c r="L9" i="19"/>
  <c r="K9" i="19"/>
  <c r="J9" i="19"/>
  <c r="I9" i="19"/>
  <c r="H9" i="19"/>
  <c r="G9" i="19"/>
  <c r="F9" i="19"/>
  <c r="M8" i="19"/>
  <c r="L8" i="19"/>
  <c r="K8" i="19"/>
  <c r="J8" i="19"/>
  <c r="I8" i="19"/>
  <c r="H8" i="19"/>
  <c r="G8" i="19"/>
  <c r="F8" i="19"/>
  <c r="M7" i="19"/>
  <c r="L7" i="19"/>
  <c r="K7" i="19"/>
  <c r="J7" i="19"/>
  <c r="I7" i="19"/>
  <c r="H7" i="19"/>
  <c r="G7" i="19"/>
  <c r="F7" i="19"/>
  <c r="M6" i="19"/>
  <c r="L6" i="19"/>
  <c r="K6" i="19"/>
  <c r="J6" i="19"/>
  <c r="I6" i="19"/>
  <c r="H6" i="19"/>
  <c r="G6" i="19"/>
  <c r="F6" i="19"/>
  <c r="AQ121" i="18"/>
  <c r="AQ122" i="18"/>
  <c r="AQ123" i="18"/>
  <c r="AQ124" i="18"/>
  <c r="AQ125" i="18"/>
  <c r="AQ126" i="18"/>
  <c r="AQ127" i="18"/>
  <c r="AQ128" i="18"/>
  <c r="AQ129" i="18"/>
  <c r="M117" i="18"/>
  <c r="M118" i="18"/>
  <c r="L117" i="18"/>
  <c r="L118" i="18"/>
  <c r="K117" i="18"/>
  <c r="K118" i="18"/>
  <c r="J117" i="18"/>
  <c r="J118" i="18"/>
  <c r="I117" i="18"/>
  <c r="I118" i="18"/>
  <c r="H117" i="18"/>
  <c r="H118" i="18"/>
  <c r="G117" i="18"/>
  <c r="G118" i="18"/>
  <c r="F117" i="18"/>
  <c r="F118" i="18"/>
  <c r="M58" i="18"/>
  <c r="L58" i="18"/>
  <c r="K58" i="18"/>
  <c r="J58" i="18"/>
  <c r="I58" i="18"/>
  <c r="H58" i="18"/>
  <c r="G58" i="18"/>
  <c r="F58" i="18"/>
  <c r="M115" i="18"/>
  <c r="L115" i="18"/>
  <c r="K115" i="18"/>
  <c r="J115" i="18"/>
  <c r="I115" i="18"/>
  <c r="H115" i="18"/>
  <c r="G115" i="18"/>
  <c r="I114" i="18"/>
  <c r="F115" i="18"/>
  <c r="M96" i="18"/>
  <c r="L96" i="18"/>
  <c r="K96" i="18"/>
  <c r="J96" i="18"/>
  <c r="I96" i="18"/>
  <c r="H96" i="18"/>
  <c r="G96" i="18"/>
  <c r="F96" i="18"/>
  <c r="M86" i="18"/>
  <c r="L86" i="18"/>
  <c r="K86" i="18"/>
  <c r="J86" i="18"/>
  <c r="I86" i="18"/>
  <c r="H86" i="18"/>
  <c r="G86" i="18"/>
  <c r="F86" i="18"/>
  <c r="F87" i="18"/>
  <c r="G87" i="18"/>
  <c r="H87" i="18"/>
  <c r="I87" i="18"/>
  <c r="J87" i="18"/>
  <c r="K87" i="18"/>
  <c r="L87" i="18"/>
  <c r="M87" i="18"/>
  <c r="AR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AR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AR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AR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AR125" i="18"/>
  <c r="AP125" i="18"/>
  <c r="AO125" i="18"/>
  <c r="AN125" i="18"/>
  <c r="AM125" i="18"/>
  <c r="AL125" i="18"/>
  <c r="AK125" i="18"/>
  <c r="AJ125" i="18"/>
  <c r="AI125" i="18"/>
  <c r="AH125" i="18"/>
  <c r="AG125" i="18"/>
  <c r="AF125" i="18"/>
  <c r="AE125" i="18"/>
  <c r="AD125" i="18"/>
  <c r="AC125" i="18"/>
  <c r="AB125" i="18"/>
  <c r="AA125" i="18"/>
  <c r="Z125" i="18"/>
  <c r="Y125" i="18"/>
  <c r="X125" i="18"/>
  <c r="W125" i="18"/>
  <c r="V125" i="18"/>
  <c r="U125" i="18"/>
  <c r="T125" i="18"/>
  <c r="S125" i="18"/>
  <c r="R125" i="18"/>
  <c r="Q125" i="18"/>
  <c r="P125" i="18"/>
  <c r="AR124" i="18"/>
  <c r="AP124" i="18"/>
  <c r="AO124" i="18"/>
  <c r="AN124" i="18"/>
  <c r="AM124" i="18"/>
  <c r="AL124" i="18"/>
  <c r="AK124" i="18"/>
  <c r="AJ124" i="18"/>
  <c r="AI124" i="18"/>
  <c r="AH124" i="18"/>
  <c r="AG124" i="18"/>
  <c r="AF124" i="18"/>
  <c r="AE124" i="18"/>
  <c r="AD124" i="18"/>
  <c r="AC124" i="18"/>
  <c r="AB124" i="18"/>
  <c r="AA124" i="18"/>
  <c r="Z124" i="18"/>
  <c r="Y124" i="18"/>
  <c r="X124" i="18"/>
  <c r="W124" i="18"/>
  <c r="V124" i="18"/>
  <c r="U124" i="18"/>
  <c r="T124" i="18"/>
  <c r="S124" i="18"/>
  <c r="R124" i="18"/>
  <c r="Q124" i="18"/>
  <c r="P124" i="18"/>
  <c r="AR123" i="18"/>
  <c r="AP123" i="18"/>
  <c r="AO123" i="18"/>
  <c r="AN123" i="18"/>
  <c r="AM123" i="18"/>
  <c r="AL123" i="18"/>
  <c r="AK123" i="18"/>
  <c r="AJ123" i="18"/>
  <c r="AI123" i="18"/>
  <c r="AH123" i="18"/>
  <c r="AG123" i="18"/>
  <c r="AF123" i="18"/>
  <c r="AE123" i="18"/>
  <c r="AD123" i="18"/>
  <c r="AC123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AR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9" i="18"/>
  <c r="O128" i="18"/>
  <c r="O127" i="18"/>
  <c r="O126" i="18"/>
  <c r="O125" i="18"/>
  <c r="O124" i="18"/>
  <c r="O123" i="18"/>
  <c r="O122" i="18"/>
  <c r="G119" i="19" l="1"/>
  <c r="D13" i="12" s="1"/>
  <c r="AT122" i="19"/>
  <c r="AT124" i="19"/>
  <c r="AT126" i="19"/>
  <c r="AT128" i="19"/>
  <c r="F119" i="19"/>
  <c r="C13" i="12" s="1"/>
  <c r="H119" i="19"/>
  <c r="E13" i="12" s="1"/>
  <c r="AT123" i="19"/>
  <c r="AT125" i="19"/>
  <c r="AT127" i="19"/>
  <c r="AT129" i="19"/>
  <c r="I119" i="19"/>
  <c r="F13" i="12" s="1"/>
  <c r="J119" i="19"/>
  <c r="G13" i="12" s="1"/>
  <c r="L119" i="19"/>
  <c r="I13" i="12" s="1"/>
  <c r="M119" i="19"/>
  <c r="J13" i="12" s="1"/>
  <c r="K119" i="19"/>
  <c r="H13" i="12" s="1"/>
  <c r="M116" i="18"/>
  <c r="L116" i="18"/>
  <c r="K116" i="18"/>
  <c r="J116" i="18"/>
  <c r="I116" i="18"/>
  <c r="H116" i="18"/>
  <c r="G116" i="18"/>
  <c r="F116" i="18"/>
  <c r="M114" i="18"/>
  <c r="L114" i="18"/>
  <c r="K114" i="18"/>
  <c r="J114" i="18"/>
  <c r="H114" i="18"/>
  <c r="G114" i="18"/>
  <c r="F114" i="18"/>
  <c r="M113" i="18"/>
  <c r="L113" i="18"/>
  <c r="K113" i="18"/>
  <c r="J113" i="18"/>
  <c r="I113" i="18"/>
  <c r="H113" i="18"/>
  <c r="G113" i="18"/>
  <c r="F113" i="18"/>
  <c r="M112" i="18"/>
  <c r="L112" i="18"/>
  <c r="K112" i="18"/>
  <c r="J112" i="18"/>
  <c r="I112" i="18"/>
  <c r="H112" i="18"/>
  <c r="G112" i="18"/>
  <c r="F112" i="18"/>
  <c r="M111" i="18"/>
  <c r="L111" i="18"/>
  <c r="K111" i="18"/>
  <c r="J111" i="18"/>
  <c r="I111" i="18"/>
  <c r="H111" i="18"/>
  <c r="G111" i="18"/>
  <c r="F111" i="18"/>
  <c r="M110" i="18"/>
  <c r="L110" i="18"/>
  <c r="K110" i="18"/>
  <c r="J110" i="18"/>
  <c r="I110" i="18"/>
  <c r="H110" i="18"/>
  <c r="G110" i="18"/>
  <c r="F110" i="18"/>
  <c r="M109" i="18"/>
  <c r="L109" i="18"/>
  <c r="K109" i="18"/>
  <c r="J109" i="18"/>
  <c r="I109" i="18"/>
  <c r="H109" i="18"/>
  <c r="G109" i="18"/>
  <c r="F109" i="18"/>
  <c r="M108" i="18"/>
  <c r="L108" i="18"/>
  <c r="K108" i="18"/>
  <c r="J108" i="18"/>
  <c r="I108" i="18"/>
  <c r="H108" i="18"/>
  <c r="G108" i="18"/>
  <c r="F108" i="18"/>
  <c r="M107" i="18"/>
  <c r="L107" i="18"/>
  <c r="K107" i="18"/>
  <c r="J107" i="18"/>
  <c r="I107" i="18"/>
  <c r="H107" i="18"/>
  <c r="G107" i="18"/>
  <c r="F107" i="18"/>
  <c r="M106" i="18"/>
  <c r="L106" i="18"/>
  <c r="K106" i="18"/>
  <c r="J106" i="18"/>
  <c r="I106" i="18"/>
  <c r="H106" i="18"/>
  <c r="G106" i="18"/>
  <c r="F106" i="18"/>
  <c r="M105" i="18"/>
  <c r="L105" i="18"/>
  <c r="K105" i="18"/>
  <c r="J105" i="18"/>
  <c r="I105" i="18"/>
  <c r="H105" i="18"/>
  <c r="G105" i="18"/>
  <c r="F105" i="18"/>
  <c r="M104" i="18"/>
  <c r="L104" i="18"/>
  <c r="K104" i="18"/>
  <c r="J104" i="18"/>
  <c r="I104" i="18"/>
  <c r="H104" i="18"/>
  <c r="G104" i="18"/>
  <c r="F104" i="18"/>
  <c r="M103" i="18"/>
  <c r="L103" i="18"/>
  <c r="K103" i="18"/>
  <c r="J103" i="18"/>
  <c r="I103" i="18"/>
  <c r="H103" i="18"/>
  <c r="G103" i="18"/>
  <c r="F103" i="18"/>
  <c r="M102" i="18"/>
  <c r="L102" i="18"/>
  <c r="K102" i="18"/>
  <c r="J102" i="18"/>
  <c r="I102" i="18"/>
  <c r="H102" i="18"/>
  <c r="G102" i="18"/>
  <c r="F102" i="18"/>
  <c r="M101" i="18"/>
  <c r="L101" i="18"/>
  <c r="K101" i="18"/>
  <c r="J101" i="18"/>
  <c r="I101" i="18"/>
  <c r="H101" i="18"/>
  <c r="G101" i="18"/>
  <c r="F101" i="18"/>
  <c r="M100" i="18"/>
  <c r="L100" i="18"/>
  <c r="K100" i="18"/>
  <c r="J100" i="18"/>
  <c r="I100" i="18"/>
  <c r="H100" i="18"/>
  <c r="G100" i="18"/>
  <c r="F100" i="18"/>
  <c r="M99" i="18"/>
  <c r="L99" i="18"/>
  <c r="K99" i="18"/>
  <c r="J99" i="18"/>
  <c r="I99" i="18"/>
  <c r="H99" i="18"/>
  <c r="G99" i="18"/>
  <c r="F99" i="18"/>
  <c r="M98" i="18"/>
  <c r="L98" i="18"/>
  <c r="K98" i="18"/>
  <c r="J98" i="18"/>
  <c r="I98" i="18"/>
  <c r="H98" i="18"/>
  <c r="G98" i="18"/>
  <c r="F98" i="18"/>
  <c r="M97" i="18"/>
  <c r="L97" i="18"/>
  <c r="K97" i="18"/>
  <c r="J97" i="18"/>
  <c r="I97" i="18"/>
  <c r="H97" i="18"/>
  <c r="G97" i="18"/>
  <c r="F97" i="18"/>
  <c r="M95" i="18"/>
  <c r="L95" i="18"/>
  <c r="K95" i="18"/>
  <c r="J95" i="18"/>
  <c r="I95" i="18"/>
  <c r="H95" i="18"/>
  <c r="G95" i="18"/>
  <c r="F95" i="18"/>
  <c r="M94" i="18"/>
  <c r="L94" i="18"/>
  <c r="K94" i="18"/>
  <c r="J94" i="18"/>
  <c r="I94" i="18"/>
  <c r="H94" i="18"/>
  <c r="G94" i="18"/>
  <c r="F94" i="18"/>
  <c r="M93" i="18"/>
  <c r="L93" i="18"/>
  <c r="K93" i="18"/>
  <c r="J93" i="18"/>
  <c r="I93" i="18"/>
  <c r="H93" i="18"/>
  <c r="G93" i="18"/>
  <c r="F93" i="18"/>
  <c r="M92" i="18"/>
  <c r="L92" i="18"/>
  <c r="K92" i="18"/>
  <c r="J92" i="18"/>
  <c r="I92" i="18"/>
  <c r="H92" i="18"/>
  <c r="G92" i="18"/>
  <c r="F92" i="18"/>
  <c r="M91" i="18"/>
  <c r="L91" i="18"/>
  <c r="K91" i="18"/>
  <c r="J91" i="18"/>
  <c r="I91" i="18"/>
  <c r="H91" i="18"/>
  <c r="G91" i="18"/>
  <c r="F91" i="18"/>
  <c r="M90" i="18"/>
  <c r="L90" i="18"/>
  <c r="K90" i="18"/>
  <c r="J90" i="18"/>
  <c r="I90" i="18"/>
  <c r="H90" i="18"/>
  <c r="G90" i="18"/>
  <c r="F90" i="18"/>
  <c r="M89" i="18"/>
  <c r="L89" i="18"/>
  <c r="K89" i="18"/>
  <c r="J89" i="18"/>
  <c r="I89" i="18"/>
  <c r="H89" i="18"/>
  <c r="G89" i="18"/>
  <c r="F89" i="18"/>
  <c r="M88" i="18"/>
  <c r="L88" i="18"/>
  <c r="K88" i="18"/>
  <c r="J88" i="18"/>
  <c r="I88" i="18"/>
  <c r="H88" i="18"/>
  <c r="G88" i="18"/>
  <c r="F88" i="18"/>
  <c r="M85" i="18"/>
  <c r="L85" i="18"/>
  <c r="K85" i="18"/>
  <c r="J85" i="18"/>
  <c r="I85" i="18"/>
  <c r="H85" i="18"/>
  <c r="G85" i="18"/>
  <c r="F85" i="18"/>
  <c r="M84" i="18"/>
  <c r="L84" i="18"/>
  <c r="K84" i="18"/>
  <c r="J84" i="18"/>
  <c r="I84" i="18"/>
  <c r="H84" i="18"/>
  <c r="G84" i="18"/>
  <c r="F84" i="18"/>
  <c r="M83" i="18"/>
  <c r="L83" i="18"/>
  <c r="K83" i="18"/>
  <c r="J83" i="18"/>
  <c r="I83" i="18"/>
  <c r="H83" i="18"/>
  <c r="G83" i="18"/>
  <c r="F83" i="18"/>
  <c r="M82" i="18"/>
  <c r="L82" i="18"/>
  <c r="K82" i="18"/>
  <c r="J82" i="18"/>
  <c r="I82" i="18"/>
  <c r="H82" i="18"/>
  <c r="G82" i="18"/>
  <c r="F82" i="18"/>
  <c r="M81" i="18"/>
  <c r="L81" i="18"/>
  <c r="K81" i="18"/>
  <c r="J81" i="18"/>
  <c r="I81" i="18"/>
  <c r="H81" i="18"/>
  <c r="G81" i="18"/>
  <c r="F81" i="18"/>
  <c r="M80" i="18"/>
  <c r="L80" i="18"/>
  <c r="K80" i="18"/>
  <c r="J80" i="18"/>
  <c r="I80" i="18"/>
  <c r="H80" i="18"/>
  <c r="G80" i="18"/>
  <c r="F80" i="18"/>
  <c r="M79" i="18"/>
  <c r="L79" i="18"/>
  <c r="K79" i="18"/>
  <c r="J79" i="18"/>
  <c r="I79" i="18"/>
  <c r="H79" i="18"/>
  <c r="G79" i="18"/>
  <c r="F79" i="18"/>
  <c r="M78" i="18"/>
  <c r="L78" i="18"/>
  <c r="K78" i="18"/>
  <c r="J78" i="18"/>
  <c r="I78" i="18"/>
  <c r="H78" i="18"/>
  <c r="G78" i="18"/>
  <c r="F78" i="18"/>
  <c r="M77" i="18"/>
  <c r="L77" i="18"/>
  <c r="K77" i="18"/>
  <c r="J77" i="18"/>
  <c r="I77" i="18"/>
  <c r="H77" i="18"/>
  <c r="G77" i="18"/>
  <c r="F77" i="18"/>
  <c r="M76" i="18"/>
  <c r="L76" i="18"/>
  <c r="K76" i="18"/>
  <c r="J76" i="18"/>
  <c r="I76" i="18"/>
  <c r="H76" i="18"/>
  <c r="G76" i="18"/>
  <c r="F76" i="18"/>
  <c r="M75" i="18"/>
  <c r="L75" i="18"/>
  <c r="K75" i="18"/>
  <c r="J75" i="18"/>
  <c r="I75" i="18"/>
  <c r="H75" i="18"/>
  <c r="G75" i="18"/>
  <c r="F75" i="18"/>
  <c r="M74" i="18"/>
  <c r="L74" i="18"/>
  <c r="K74" i="18"/>
  <c r="J74" i="18"/>
  <c r="I74" i="18"/>
  <c r="H74" i="18"/>
  <c r="G74" i="18"/>
  <c r="F74" i="18"/>
  <c r="M73" i="18"/>
  <c r="L73" i="18"/>
  <c r="K73" i="18"/>
  <c r="J73" i="18"/>
  <c r="I73" i="18"/>
  <c r="H73" i="18"/>
  <c r="G73" i="18"/>
  <c r="F73" i="18"/>
  <c r="M72" i="18"/>
  <c r="L72" i="18"/>
  <c r="K72" i="18"/>
  <c r="J72" i="18"/>
  <c r="I72" i="18"/>
  <c r="H72" i="18"/>
  <c r="G72" i="18"/>
  <c r="F72" i="18"/>
  <c r="M71" i="18"/>
  <c r="L71" i="18"/>
  <c r="K71" i="18"/>
  <c r="J71" i="18"/>
  <c r="I71" i="18"/>
  <c r="H71" i="18"/>
  <c r="G71" i="18"/>
  <c r="F71" i="18"/>
  <c r="M70" i="18"/>
  <c r="L70" i="18"/>
  <c r="K70" i="18"/>
  <c r="J70" i="18"/>
  <c r="I70" i="18"/>
  <c r="H70" i="18"/>
  <c r="G70" i="18"/>
  <c r="F70" i="18"/>
  <c r="M69" i="18"/>
  <c r="L69" i="18"/>
  <c r="K69" i="18"/>
  <c r="J69" i="18"/>
  <c r="I69" i="18"/>
  <c r="H69" i="18"/>
  <c r="G69" i="18"/>
  <c r="F69" i="18"/>
  <c r="M68" i="18"/>
  <c r="L68" i="18"/>
  <c r="K68" i="18"/>
  <c r="J68" i="18"/>
  <c r="I68" i="18"/>
  <c r="H68" i="18"/>
  <c r="G68" i="18"/>
  <c r="F68" i="18"/>
  <c r="M67" i="18"/>
  <c r="L67" i="18"/>
  <c r="K67" i="18"/>
  <c r="J67" i="18"/>
  <c r="I67" i="18"/>
  <c r="H67" i="18"/>
  <c r="G67" i="18"/>
  <c r="F67" i="18"/>
  <c r="M66" i="18"/>
  <c r="L66" i="18"/>
  <c r="K66" i="18"/>
  <c r="J66" i="18"/>
  <c r="I66" i="18"/>
  <c r="H66" i="18"/>
  <c r="G66" i="18"/>
  <c r="F66" i="18"/>
  <c r="M65" i="18"/>
  <c r="L65" i="18"/>
  <c r="K65" i="18"/>
  <c r="J65" i="18"/>
  <c r="I65" i="18"/>
  <c r="H65" i="18"/>
  <c r="G65" i="18"/>
  <c r="F65" i="18"/>
  <c r="M64" i="18"/>
  <c r="L64" i="18"/>
  <c r="K64" i="18"/>
  <c r="J64" i="18"/>
  <c r="I64" i="18"/>
  <c r="H64" i="18"/>
  <c r="G64" i="18"/>
  <c r="F64" i="18"/>
  <c r="M63" i="18"/>
  <c r="L63" i="18"/>
  <c r="K63" i="18"/>
  <c r="J63" i="18"/>
  <c r="I63" i="18"/>
  <c r="H63" i="18"/>
  <c r="G63" i="18"/>
  <c r="F63" i="18"/>
  <c r="M62" i="18"/>
  <c r="L62" i="18"/>
  <c r="K62" i="18"/>
  <c r="J62" i="18"/>
  <c r="I62" i="18"/>
  <c r="H62" i="18"/>
  <c r="G62" i="18"/>
  <c r="F62" i="18"/>
  <c r="M61" i="18"/>
  <c r="L61" i="18"/>
  <c r="K61" i="18"/>
  <c r="J61" i="18"/>
  <c r="I61" i="18"/>
  <c r="H61" i="18"/>
  <c r="G61" i="18"/>
  <c r="F61" i="18"/>
  <c r="M60" i="18"/>
  <c r="L60" i="18"/>
  <c r="K60" i="18"/>
  <c r="J60" i="18"/>
  <c r="I60" i="18"/>
  <c r="H60" i="18"/>
  <c r="G60" i="18"/>
  <c r="F60" i="18"/>
  <c r="M59" i="18"/>
  <c r="L59" i="18"/>
  <c r="K59" i="18"/>
  <c r="J59" i="18"/>
  <c r="I59" i="18"/>
  <c r="H59" i="18"/>
  <c r="G59" i="18"/>
  <c r="F59" i="18"/>
  <c r="M57" i="18"/>
  <c r="L57" i="18"/>
  <c r="K57" i="18"/>
  <c r="J57" i="18"/>
  <c r="I57" i="18"/>
  <c r="H57" i="18"/>
  <c r="G57" i="18"/>
  <c r="F57" i="18"/>
  <c r="M56" i="18"/>
  <c r="L56" i="18"/>
  <c r="K56" i="18"/>
  <c r="J56" i="18"/>
  <c r="I56" i="18"/>
  <c r="H56" i="18"/>
  <c r="G56" i="18"/>
  <c r="F56" i="18"/>
  <c r="M55" i="18"/>
  <c r="L55" i="18"/>
  <c r="K55" i="18"/>
  <c r="J55" i="18"/>
  <c r="I55" i="18"/>
  <c r="H55" i="18"/>
  <c r="G55" i="18"/>
  <c r="F55" i="18"/>
  <c r="M54" i="18"/>
  <c r="L54" i="18"/>
  <c r="K54" i="18"/>
  <c r="J54" i="18"/>
  <c r="I54" i="18"/>
  <c r="H54" i="18"/>
  <c r="G54" i="18"/>
  <c r="F54" i="18"/>
  <c r="M53" i="18"/>
  <c r="L53" i="18"/>
  <c r="K53" i="18"/>
  <c r="J53" i="18"/>
  <c r="I53" i="18"/>
  <c r="H53" i="18"/>
  <c r="G53" i="18"/>
  <c r="F53" i="18"/>
  <c r="M52" i="18"/>
  <c r="L52" i="18"/>
  <c r="K52" i="18"/>
  <c r="J52" i="18"/>
  <c r="I52" i="18"/>
  <c r="H52" i="18"/>
  <c r="G52" i="18"/>
  <c r="F52" i="18"/>
  <c r="M51" i="18"/>
  <c r="L51" i="18"/>
  <c r="K51" i="18"/>
  <c r="J51" i="18"/>
  <c r="I51" i="18"/>
  <c r="H51" i="18"/>
  <c r="G51" i="18"/>
  <c r="F51" i="18"/>
  <c r="M50" i="18"/>
  <c r="L50" i="18"/>
  <c r="K50" i="18"/>
  <c r="J50" i="18"/>
  <c r="I50" i="18"/>
  <c r="H50" i="18"/>
  <c r="G50" i="18"/>
  <c r="F50" i="18"/>
  <c r="M49" i="18"/>
  <c r="L49" i="18"/>
  <c r="K49" i="18"/>
  <c r="J49" i="18"/>
  <c r="I49" i="18"/>
  <c r="H49" i="18"/>
  <c r="G49" i="18"/>
  <c r="F49" i="18"/>
  <c r="M48" i="18"/>
  <c r="L48" i="18"/>
  <c r="K48" i="18"/>
  <c r="J48" i="18"/>
  <c r="I48" i="18"/>
  <c r="H48" i="18"/>
  <c r="G48" i="18"/>
  <c r="F48" i="18"/>
  <c r="M47" i="18"/>
  <c r="L47" i="18"/>
  <c r="K47" i="18"/>
  <c r="J47" i="18"/>
  <c r="I47" i="18"/>
  <c r="H47" i="18"/>
  <c r="G47" i="18"/>
  <c r="F47" i="18"/>
  <c r="M46" i="18"/>
  <c r="L46" i="18"/>
  <c r="K46" i="18"/>
  <c r="J46" i="18"/>
  <c r="I46" i="18"/>
  <c r="H46" i="18"/>
  <c r="G46" i="18"/>
  <c r="F46" i="18"/>
  <c r="M45" i="18"/>
  <c r="L45" i="18"/>
  <c r="K45" i="18"/>
  <c r="J45" i="18"/>
  <c r="I45" i="18"/>
  <c r="H45" i="18"/>
  <c r="G45" i="18"/>
  <c r="F45" i="18"/>
  <c r="M44" i="18"/>
  <c r="L44" i="18"/>
  <c r="K44" i="18"/>
  <c r="J44" i="18"/>
  <c r="I44" i="18"/>
  <c r="H44" i="18"/>
  <c r="G44" i="18"/>
  <c r="F44" i="18"/>
  <c r="M43" i="18"/>
  <c r="L43" i="18"/>
  <c r="K43" i="18"/>
  <c r="J43" i="18"/>
  <c r="I43" i="18"/>
  <c r="H43" i="18"/>
  <c r="G43" i="18"/>
  <c r="F43" i="18"/>
  <c r="M42" i="18"/>
  <c r="L42" i="18"/>
  <c r="K42" i="18"/>
  <c r="J42" i="18"/>
  <c r="I42" i="18"/>
  <c r="H42" i="18"/>
  <c r="G42" i="18"/>
  <c r="F42" i="18"/>
  <c r="M41" i="18"/>
  <c r="L41" i="18"/>
  <c r="K41" i="18"/>
  <c r="J41" i="18"/>
  <c r="I41" i="18"/>
  <c r="H41" i="18"/>
  <c r="G41" i="18"/>
  <c r="F41" i="18"/>
  <c r="M40" i="18"/>
  <c r="L40" i="18"/>
  <c r="K40" i="18"/>
  <c r="J40" i="18"/>
  <c r="I40" i="18"/>
  <c r="H40" i="18"/>
  <c r="G40" i="18"/>
  <c r="F40" i="18"/>
  <c r="M39" i="18"/>
  <c r="L39" i="18"/>
  <c r="K39" i="18"/>
  <c r="J39" i="18"/>
  <c r="I39" i="18"/>
  <c r="H39" i="18"/>
  <c r="G39" i="18"/>
  <c r="F39" i="18"/>
  <c r="M38" i="18"/>
  <c r="L38" i="18"/>
  <c r="K38" i="18"/>
  <c r="J38" i="18"/>
  <c r="I38" i="18"/>
  <c r="H38" i="18"/>
  <c r="G38" i="18"/>
  <c r="F38" i="18"/>
  <c r="M37" i="18"/>
  <c r="L37" i="18"/>
  <c r="K37" i="18"/>
  <c r="J37" i="18"/>
  <c r="I37" i="18"/>
  <c r="H37" i="18"/>
  <c r="G37" i="18"/>
  <c r="F37" i="18"/>
  <c r="M36" i="18"/>
  <c r="L36" i="18"/>
  <c r="K36" i="18"/>
  <c r="J36" i="18"/>
  <c r="I36" i="18"/>
  <c r="H36" i="18"/>
  <c r="G36" i="18"/>
  <c r="F36" i="18"/>
  <c r="M25" i="18" l="1"/>
  <c r="M26" i="18"/>
  <c r="L25" i="18"/>
  <c r="L26" i="18"/>
  <c r="K25" i="18"/>
  <c r="K26" i="18"/>
  <c r="J25" i="18"/>
  <c r="J26" i="18"/>
  <c r="I25" i="18"/>
  <c r="I26" i="18"/>
  <c r="H25" i="18"/>
  <c r="H26" i="18"/>
  <c r="G26" i="18"/>
  <c r="G25" i="18"/>
  <c r="F25" i="18"/>
  <c r="F26" i="18"/>
  <c r="AR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M35" i="18"/>
  <c r="L35" i="18"/>
  <c r="K35" i="18"/>
  <c r="J35" i="18"/>
  <c r="I35" i="18"/>
  <c r="H35" i="18"/>
  <c r="G35" i="18"/>
  <c r="F35" i="18"/>
  <c r="M34" i="18"/>
  <c r="L34" i="18"/>
  <c r="K34" i="18"/>
  <c r="J34" i="18"/>
  <c r="I34" i="18"/>
  <c r="H34" i="18"/>
  <c r="G34" i="18"/>
  <c r="F34" i="18"/>
  <c r="M33" i="18"/>
  <c r="L33" i="18"/>
  <c r="K33" i="18"/>
  <c r="J33" i="18"/>
  <c r="I33" i="18"/>
  <c r="H33" i="18"/>
  <c r="G33" i="18"/>
  <c r="F33" i="18"/>
  <c r="M32" i="18"/>
  <c r="L32" i="18"/>
  <c r="K32" i="18"/>
  <c r="J32" i="18"/>
  <c r="I32" i="18"/>
  <c r="H32" i="18"/>
  <c r="G32" i="18"/>
  <c r="F32" i="18"/>
  <c r="M31" i="18"/>
  <c r="L31" i="18"/>
  <c r="K31" i="18"/>
  <c r="J31" i="18"/>
  <c r="I31" i="18"/>
  <c r="H31" i="18"/>
  <c r="G31" i="18"/>
  <c r="F31" i="18"/>
  <c r="M30" i="18"/>
  <c r="L30" i="18"/>
  <c r="K30" i="18"/>
  <c r="J30" i="18"/>
  <c r="I30" i="18"/>
  <c r="H30" i="18"/>
  <c r="G30" i="18"/>
  <c r="F30" i="18"/>
  <c r="M29" i="18"/>
  <c r="L29" i="18"/>
  <c r="K29" i="18"/>
  <c r="J29" i="18"/>
  <c r="I29" i="18"/>
  <c r="H29" i="18"/>
  <c r="G29" i="18"/>
  <c r="F29" i="18"/>
  <c r="M28" i="18"/>
  <c r="L28" i="18"/>
  <c r="K28" i="18"/>
  <c r="J28" i="18"/>
  <c r="I28" i="18"/>
  <c r="H28" i="18"/>
  <c r="G28" i="18"/>
  <c r="F28" i="18"/>
  <c r="M27" i="18"/>
  <c r="L27" i="18"/>
  <c r="K27" i="18"/>
  <c r="J27" i="18"/>
  <c r="I27" i="18"/>
  <c r="H27" i="18"/>
  <c r="G27" i="18"/>
  <c r="F27" i="18"/>
  <c r="M24" i="18"/>
  <c r="L24" i="18"/>
  <c r="K24" i="18"/>
  <c r="J24" i="18"/>
  <c r="I24" i="18"/>
  <c r="H24" i="18"/>
  <c r="G24" i="18"/>
  <c r="F24" i="18"/>
  <c r="M23" i="18"/>
  <c r="L23" i="18"/>
  <c r="K23" i="18"/>
  <c r="J23" i="18"/>
  <c r="I23" i="18"/>
  <c r="H23" i="18"/>
  <c r="G23" i="18"/>
  <c r="F23" i="18"/>
  <c r="M22" i="18"/>
  <c r="L22" i="18"/>
  <c r="K22" i="18"/>
  <c r="J22" i="18"/>
  <c r="I22" i="18"/>
  <c r="H22" i="18"/>
  <c r="G22" i="18"/>
  <c r="F22" i="18"/>
  <c r="M21" i="18"/>
  <c r="L21" i="18"/>
  <c r="K21" i="18"/>
  <c r="J21" i="18"/>
  <c r="I21" i="18"/>
  <c r="H21" i="18"/>
  <c r="G21" i="18"/>
  <c r="F21" i="18"/>
  <c r="M20" i="18"/>
  <c r="L20" i="18"/>
  <c r="K20" i="18"/>
  <c r="J20" i="18"/>
  <c r="I20" i="18"/>
  <c r="H20" i="18"/>
  <c r="G20" i="18"/>
  <c r="F20" i="18"/>
  <c r="M19" i="18"/>
  <c r="L19" i="18"/>
  <c r="K19" i="18"/>
  <c r="J19" i="18"/>
  <c r="I19" i="18"/>
  <c r="H19" i="18"/>
  <c r="G19" i="18"/>
  <c r="F19" i="18"/>
  <c r="M18" i="18"/>
  <c r="L18" i="18"/>
  <c r="K18" i="18"/>
  <c r="J18" i="18"/>
  <c r="I18" i="18"/>
  <c r="H18" i="18"/>
  <c r="G18" i="18"/>
  <c r="F18" i="18"/>
  <c r="M17" i="18"/>
  <c r="L17" i="18"/>
  <c r="K17" i="18"/>
  <c r="J17" i="18"/>
  <c r="I17" i="18"/>
  <c r="H17" i="18"/>
  <c r="G17" i="18"/>
  <c r="F17" i="18"/>
  <c r="M16" i="18"/>
  <c r="L16" i="18"/>
  <c r="K16" i="18"/>
  <c r="J16" i="18"/>
  <c r="I16" i="18"/>
  <c r="H16" i="18"/>
  <c r="G16" i="18"/>
  <c r="F16" i="18"/>
  <c r="M15" i="18"/>
  <c r="L15" i="18"/>
  <c r="K15" i="18"/>
  <c r="J15" i="18"/>
  <c r="I15" i="18"/>
  <c r="H15" i="18"/>
  <c r="G15" i="18"/>
  <c r="F15" i="18"/>
  <c r="M14" i="18"/>
  <c r="L14" i="18"/>
  <c r="K14" i="18"/>
  <c r="J14" i="18"/>
  <c r="I14" i="18"/>
  <c r="H14" i="18"/>
  <c r="G14" i="18"/>
  <c r="F14" i="18"/>
  <c r="M13" i="18"/>
  <c r="L13" i="18"/>
  <c r="K13" i="18"/>
  <c r="J13" i="18"/>
  <c r="I13" i="18"/>
  <c r="H13" i="18"/>
  <c r="G13" i="18"/>
  <c r="F13" i="18"/>
  <c r="M12" i="18"/>
  <c r="L12" i="18"/>
  <c r="K12" i="18"/>
  <c r="J12" i="18"/>
  <c r="I12" i="18"/>
  <c r="H12" i="18"/>
  <c r="G12" i="18"/>
  <c r="F12" i="18"/>
  <c r="M11" i="18"/>
  <c r="L11" i="18"/>
  <c r="K11" i="18"/>
  <c r="J11" i="18"/>
  <c r="I11" i="18"/>
  <c r="H11" i="18"/>
  <c r="G11" i="18"/>
  <c r="F11" i="18"/>
  <c r="M10" i="18"/>
  <c r="L10" i="18"/>
  <c r="K10" i="18"/>
  <c r="J10" i="18"/>
  <c r="I10" i="18"/>
  <c r="H10" i="18"/>
  <c r="G10" i="18"/>
  <c r="F10" i="18"/>
  <c r="M9" i="18"/>
  <c r="L9" i="18"/>
  <c r="K9" i="18"/>
  <c r="J9" i="18"/>
  <c r="I9" i="18"/>
  <c r="H9" i="18"/>
  <c r="G9" i="18"/>
  <c r="F9" i="18"/>
  <c r="M8" i="18"/>
  <c r="L8" i="18"/>
  <c r="K8" i="18"/>
  <c r="J8" i="18"/>
  <c r="I8" i="18"/>
  <c r="H8" i="18"/>
  <c r="G8" i="18"/>
  <c r="F8" i="18"/>
  <c r="M7" i="18"/>
  <c r="L7" i="18"/>
  <c r="K7" i="18"/>
  <c r="J7" i="18"/>
  <c r="I7" i="18"/>
  <c r="H7" i="18"/>
  <c r="G7" i="18"/>
  <c r="F7" i="18"/>
  <c r="M6" i="18"/>
  <c r="L6" i="18"/>
  <c r="K6" i="18"/>
  <c r="J6" i="18"/>
  <c r="I6" i="18"/>
  <c r="H6" i="18"/>
  <c r="G6" i="18"/>
  <c r="F6" i="18"/>
  <c r="J119" i="18" l="1"/>
  <c r="G12" i="12" s="1"/>
  <c r="F119" i="18"/>
  <c r="C12" i="12" s="1"/>
  <c r="G119" i="18"/>
  <c r="D12" i="12" s="1"/>
  <c r="H119" i="18"/>
  <c r="E12" i="12" s="1"/>
  <c r="I119" i="18"/>
  <c r="F12" i="12" s="1"/>
  <c r="K119" i="18"/>
  <c r="H12" i="12" s="1"/>
  <c r="L119" i="18"/>
  <c r="I12" i="12" s="1"/>
  <c r="M119" i="18"/>
  <c r="J12" i="12" s="1"/>
  <c r="AS122" i="18"/>
  <c r="AS126" i="18"/>
  <c r="AS125" i="18"/>
  <c r="AS124" i="18"/>
  <c r="AS123" i="18"/>
  <c r="K7" i="12" l="1"/>
  <c r="K13" i="12" l="1"/>
  <c r="K14" i="12"/>
  <c r="K15" i="12"/>
  <c r="K16" i="12"/>
  <c r="K17" i="12"/>
  <c r="K18" i="12"/>
  <c r="K10" i="12" l="1"/>
  <c r="K9" i="12"/>
  <c r="K12" i="12"/>
  <c r="K8" i="12"/>
  <c r="I19" i="12"/>
  <c r="C19" i="12"/>
  <c r="J19" i="12"/>
  <c r="H19" i="12"/>
  <c r="F19" i="12"/>
  <c r="E19" i="12"/>
  <c r="G19" i="12"/>
  <c r="K11" i="12" l="1"/>
  <c r="D19" i="12"/>
  <c r="K19" i="12" l="1"/>
  <c r="AS127" i="18"/>
  <c r="AS128" i="18" l="1"/>
  <c r="AS129" i="18"/>
</calcChain>
</file>

<file path=xl/sharedStrings.xml><?xml version="1.0" encoding="utf-8"?>
<sst xmlns="http://schemas.openxmlformats.org/spreadsheetml/2006/main" count="3280" uniqueCount="170">
  <si>
    <t>ABSENTEÍSMO  JUNHO - 2026 | EXPEDIÇÃO</t>
  </si>
  <si>
    <t>Mês</t>
  </si>
  <si>
    <t>P</t>
  </si>
  <si>
    <t>BH</t>
  </si>
  <si>
    <t>FN</t>
  </si>
  <si>
    <t>FJ</t>
  </si>
  <si>
    <t>A</t>
  </si>
  <si>
    <t>T</t>
  </si>
  <si>
    <t>S</t>
  </si>
  <si>
    <t>F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</si>
  <si>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</si>
  <si>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</si>
  <si>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</si>
  <si>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</si>
  <si>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</si>
  <si>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</si>
  <si>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</si>
  <si>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</si>
  <si>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</si>
  <si>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</si>
  <si>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</si>
  <si>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</si>
  <si>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</si>
  <si>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ABSENTEÍSMO EXPEDIÇÃO - JUNHO 2026</t>
  </si>
  <si>
    <t>SEG</t>
  </si>
  <si>
    <t>TER</t>
  </si>
  <si>
    <t>QUA</t>
  </si>
  <si>
    <t>QUI</t>
  </si>
  <si>
    <t>SEX</t>
  </si>
  <si>
    <t>SÁB</t>
  </si>
  <si>
    <t>DOM</t>
  </si>
  <si>
    <t>TURNO</t>
  </si>
  <si>
    <t>NOME COMPLETO</t>
  </si>
  <si>
    <t>FUNÇÃO</t>
  </si>
  <si>
    <t xml:space="preserve">1º </t>
  </si>
  <si>
    <t>CICERO ROBERTO DA SILVA</t>
  </si>
  <si>
    <t>OPERADOR GLP</t>
  </si>
  <si>
    <t>JOSE AVERALDO LOPES</t>
  </si>
  <si>
    <t>SUPERVISOR SENIOR</t>
  </si>
  <si>
    <t>DOUGLAS MANOEL DA SILVA</t>
  </si>
  <si>
    <t>OPERADOR RETRATIL</t>
  </si>
  <si>
    <t>EDMILSON DOS SANTOS OLIVEIRA</t>
  </si>
  <si>
    <t>EDSON NASCIMENTO DE ALMEIDA</t>
  </si>
  <si>
    <t>EDUARDO MORENO DOS SANTOS</t>
  </si>
  <si>
    <t>AJUDANTE LOGISTICO</t>
  </si>
  <si>
    <t>EMERSON CONCEIÇÃO DE AS</t>
  </si>
  <si>
    <t>EVERTON LOPES FERREIRA</t>
  </si>
  <si>
    <t>OP. SELECIONADORA</t>
  </si>
  <si>
    <t>FÁBIO FRANCISCO DA SILVA</t>
  </si>
  <si>
    <t>CONFERENTE</t>
  </si>
  <si>
    <t>FABRICIO OLIVEIRA DO AMARAL</t>
  </si>
  <si>
    <t>SUPERVISOR</t>
  </si>
  <si>
    <t>FERNANDO DE BRITTO GRABALOS</t>
  </si>
  <si>
    <t>GIUSEPPE CARDINALI JUNIOR</t>
  </si>
  <si>
    <t>HERBER SOLVA MACEDO</t>
  </si>
  <si>
    <t>HIGOR PEREIRA DE SOUZA</t>
  </si>
  <si>
    <t>ANALISTA ADM</t>
  </si>
  <si>
    <t>HUGO ARAUJO DA SILVA</t>
  </si>
  <si>
    <t>IGOR FERREIRA DE SOUSA</t>
  </si>
  <si>
    <t>IRISMAR MORAES PEREIRA</t>
  </si>
  <si>
    <t>JAIRO VERIANO GAMA</t>
  </si>
  <si>
    <t>JANDIR CESAR ALVES DA SILVA</t>
  </si>
  <si>
    <t>JOÃO ESLLEY PEREIRA BIBANO</t>
  </si>
  <si>
    <t>TRANSPALETEIRO</t>
  </si>
  <si>
    <t>JONATHAN RAFAEL SIMÕES ALVES </t>
  </si>
  <si>
    <t>1º</t>
  </si>
  <si>
    <t>JUNIOR MORENO DALOIA</t>
  </si>
  <si>
    <t>KETLYN LUIZA VIEIRA DA SILVERIA</t>
  </si>
  <si>
    <t>LENITA ANDRÉ DE LIMA</t>
  </si>
  <si>
    <t>LUANA MARTINS DA SILVA</t>
  </si>
  <si>
    <t>LUIS HENRIQUE MENDES</t>
  </si>
  <si>
    <t>MARCELO OLIVEIRA DA SILVA</t>
  </si>
  <si>
    <t>LIDER</t>
  </si>
  <si>
    <t>MAURICIO PINEDO PEREIRA JUNIOR</t>
  </si>
  <si>
    <t>MAURICIO DOS SANTOS</t>
  </si>
  <si>
    <t>MICHAEL APARECIDO VARANDAS</t>
  </si>
  <si>
    <t>PAULO RICARDO OLIVEIRA SANCHES</t>
  </si>
  <si>
    <t>PEDRO HENRIQUE FREITAS DE OLIVEIRA MARTINS</t>
  </si>
  <si>
    <t>PLACIDO DE OLIVEIRA SANTOS</t>
  </si>
  <si>
    <t>RAFAELA GOMES DA SILVA</t>
  </si>
  <si>
    <t>RENAN ELIAS MARQUES</t>
  </si>
  <si>
    <t>RENILTON CARDOSO DE BARROS</t>
  </si>
  <si>
    <t>RICARDO DE ASSIS DA SILVA</t>
  </si>
  <si>
    <t>ROBERTO CAETANO JUNIOR</t>
  </si>
  <si>
    <t>ANALISTA ADM SENIOR</t>
  </si>
  <si>
    <t>SEVERINO JOSE DA SILVA</t>
  </si>
  <si>
    <t>SIDNEI DA SILVA FEITOSA</t>
  </si>
  <si>
    <t>THIAGO SILVA SANTOS AMORIM</t>
  </si>
  <si>
    <t>ADAILTON ALVES BORGES</t>
  </si>
  <si>
    <t>VICTOR DE LIMA DA SILVA</t>
  </si>
  <si>
    <t>VINICIUS MARCHI PANSICA</t>
  </si>
  <si>
    <t>JULIO APARECIDO DE LIMA SANTOS</t>
  </si>
  <si>
    <t>CRISTIANO DA SILA</t>
  </si>
  <si>
    <t>KESLEY EDUARDO SETE CAMILO</t>
  </si>
  <si>
    <t>LEONARDO COUTINHO COSTA</t>
  </si>
  <si>
    <t>RAFAEL FERREIRA DA SILVA</t>
  </si>
  <si>
    <t>JOÃO VITOR NUNES FERREIRA</t>
  </si>
  <si>
    <t>2º</t>
  </si>
  <si>
    <t>CARLOS EDUARDO NOGUEIRA</t>
  </si>
  <si>
    <t>GUSTAVO YURI AMEDURO TUDA</t>
  </si>
  <si>
    <t xml:space="preserve">HIAGO FAGUNDES DE LIMA </t>
  </si>
  <si>
    <t>JAELSON AMORIM PEREIRA</t>
  </si>
  <si>
    <t xml:space="preserve">ROBERTO DE ARAUJO SANTOS </t>
  </si>
  <si>
    <t>RUAN ALVES DOS SANTOS</t>
  </si>
  <si>
    <t>SULAMITA DA PAZ FONSECA SOUSA</t>
  </si>
  <si>
    <t>KELVIN APARECIDO MARTINS TIMOTEO</t>
  </si>
  <si>
    <t>ANDERSON BATISTA</t>
  </si>
  <si>
    <t>BIANCA ANUCENA DE SOUSA</t>
  </si>
  <si>
    <t>GABRIEL LUIS VIEIRA</t>
  </si>
  <si>
    <t>PAOLO JUSTINO MOREIRA</t>
  </si>
  <si>
    <t>CICERO ELAN</t>
  </si>
  <si>
    <t xml:space="preserve">MARCOS  PRADO </t>
  </si>
  <si>
    <t>BRUNO HENRIQUE</t>
  </si>
  <si>
    <t>GABRIEL SOARES GOMES</t>
  </si>
  <si>
    <t xml:space="preserve">GUILHERME DOS SANTOS MAGALHAES </t>
  </si>
  <si>
    <t>IGOR SANTANA DA SILVA</t>
  </si>
  <si>
    <t>JOÃO GABRIEL DANIEL DO NASCIMENTO</t>
  </si>
  <si>
    <t>NICHOLAS CANDIDO GALDINO</t>
  </si>
  <si>
    <t xml:space="preserve">RAILDA ALVES DE OLIVEIRA </t>
  </si>
  <si>
    <t>ANDRE CONSTANTINO DA SILVA</t>
  </si>
  <si>
    <t>CARLOS ALBERTO DA SILVA</t>
  </si>
  <si>
    <t>EDMAR NUNES</t>
  </si>
  <si>
    <t>EZIO RUFINO DA SILVA</t>
  </si>
  <si>
    <t>MANOEL MONTEIRO DE ARAUJO</t>
  </si>
  <si>
    <t>PAULO SERGIO TEOBALDO</t>
  </si>
  <si>
    <t xml:space="preserve">WELLINGTON DE OLIVEIRA DOS SANTOS </t>
  </si>
  <si>
    <t xml:space="preserve">ANTONIO JAIR </t>
  </si>
  <si>
    <t>DANILO HENRIQUE DE ANDRADE</t>
  </si>
  <si>
    <t>DAVID LUIZ ARANTES</t>
  </si>
  <si>
    <t>EVANDRO RODRIGUES DA SILVA</t>
  </si>
  <si>
    <t>JOSE DANILO</t>
  </si>
  <si>
    <t>LAURO LIMA DE AMORIM</t>
  </si>
  <si>
    <t>LEANDRO SILVA NASCIMENTO</t>
  </si>
  <si>
    <t>RAMON TAVARES</t>
  </si>
  <si>
    <t>RENATO DE LIMA AVELINO</t>
  </si>
  <si>
    <t>ROBSON DE SOUZA LAZARO</t>
  </si>
  <si>
    <t xml:space="preserve">SILVERLEI PERREIRA FERREIRA </t>
  </si>
  <si>
    <t xml:space="preserve">THIAGO TEIXEIRA GONCALVES  </t>
  </si>
  <si>
    <t xml:space="preserve">VINICIUS SOUZA DOS SANTOS </t>
  </si>
  <si>
    <t xml:space="preserve">WESLEY VENTURA CERCO </t>
  </si>
  <si>
    <t>WENDELL SHOSTENIYS</t>
  </si>
  <si>
    <t>ELIZEU BARBOSA TEXEIRA</t>
  </si>
  <si>
    <t>NICELMO SANTOS MAIA</t>
  </si>
  <si>
    <t>3º</t>
  </si>
  <si>
    <t>ADRIANO DOS SANTOS</t>
  </si>
  <si>
    <t>FABIO SILVA MOTA</t>
  </si>
  <si>
    <t>DOUGLAS GONZAGA DIAS</t>
  </si>
  <si>
    <t>DENIS ALCINO</t>
  </si>
  <si>
    <t>JOSE FRANCISCO DE SOUZA</t>
  </si>
  <si>
    <t>JONATHAN NASCIMENTO MARINHO</t>
  </si>
  <si>
    <t>SILVIO CESAR TAVARES</t>
  </si>
  <si>
    <t>RILDO JUNIOR FERREIRA DA SILVA</t>
  </si>
  <si>
    <t>BRUNO GABRIEL DE ALMEIDA ALVES</t>
  </si>
  <si>
    <t>EDSON FERREIRA DOS SANTOS</t>
  </si>
  <si>
    <t>LUIZ FELIPE FLORIANO</t>
  </si>
  <si>
    <t>CARLOS HENRIQUE</t>
  </si>
  <si>
    <t>LUIS FELIPE DA SILVA FEITOSA</t>
  </si>
  <si>
    <t>PEDRO HENRIQUE GOMES DA SILVA</t>
  </si>
  <si>
    <t>JORGE PAULO DA ROCHA</t>
  </si>
  <si>
    <t>S.A</t>
  </si>
  <si>
    <t>PRESENTE</t>
  </si>
  <si>
    <t>BANCO DE HORAS</t>
  </si>
  <si>
    <t>FALTA NÃO JUSTIFICADA</t>
  </si>
  <si>
    <t>FALTA JUSTIFICADA</t>
  </si>
  <si>
    <t>AFASTAMENTO</t>
  </si>
  <si>
    <t>ATRASO</t>
  </si>
  <si>
    <t>SAIDA ANTECIPADA</t>
  </si>
  <si>
    <t>FÉRIAS - FOLGA</t>
  </si>
  <si>
    <t>ABSENTEÍSMO EXPEDIÇÃO - JULHO 2026</t>
  </si>
  <si>
    <t>REPOR VAGA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</si>
</sst>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13">
    <font>
      <sz val="10"/>
      <color theme="1"/>
      <name val="Arial"/>
      <family val="2"/>
    </font>
    <font>
      <sz val="8"/>
      <name val="Arial"/>
      <family val="2"/>
    </font>
    <font>
      <b/>
      <sz val="20"/>
      <color theme="0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sz val="11"/>
      <color theme="1"/>
      <name val="Century Gothic"/>
      <family val="2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b/>
      <sz val="28"/>
      <color theme="0"/>
      <name val="Century Gothic"/>
      <family val="2"/>
    </font>
    <font>
      <sz val="9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name val="Century Gothic"/>
      <family val="2"/>
    </font>
    <font>
      <sz val="9"/>
      <color rgb="FFFF0000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33CC"/>
        <bgColor auto="1"/>
      </patternFill>
    </fill>
    <fill>
      <gradientFill degree="90">
        <stop position="0">
          <color rgb="FFFF33CC"/>
        </stop>
        <stop position="1">
          <color rgb="FFFF33CC"/>
        </stop>
      </gradient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4" fillId="0" borderId="5" xfId="0" applyFont="1" applyBorder="1" applyAlignment="1">
      <alignment horizontal="center"/>
    </xf>
    <xf numFmtId="164" fontId="6" fillId="5" borderId="6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6" fillId="9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6" fontId="3" fillId="0" borderId="0" xfId="0" applyNumberFormat="1" applyFont="1"/>
    <xf numFmtId="0" fontId="9" fillId="0" borderId="12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1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" fontId="10" fillId="0" borderId="16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" fontId="5" fillId="0" borderId="24" xfId="0" applyNumberFormat="1" applyFont="1" applyBorder="1" applyAlignment="1">
      <alignment horizontal="center"/>
    </xf>
    <xf numFmtId="16" fontId="5" fillId="0" borderId="25" xfId="0" applyNumberFormat="1" applyFont="1" applyBorder="1" applyAlignment="1">
      <alignment horizontal="center"/>
    </xf>
    <xf numFmtId="16" fontId="5" fillId="0" borderId="26" xfId="0" applyNumberFormat="1" applyFont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12" borderId="12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843"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33CC33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50BC8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DE9294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 val="0"/>
        <i val="0"/>
      </font>
      <fill>
        <gradientFill degree="90">
          <stop position="0">
            <color rgb="FFFF00FF"/>
          </stop>
          <stop position="1">
            <color rgb="FFFF00FF"/>
          </stop>
        </gradient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theme="0" tint="-0.24994659260841701"/>
        </patternFill>
      </fill>
    </dxf>
    <dxf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8"/>
        </patternFill>
      </fill>
    </dxf>
    <dxf>
      <fill>
        <patternFill>
          <bgColor theme="9" tint="0.59996337778862885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8"/>
        </patternFill>
      </fill>
    </dxf>
    <dxf>
      <fill>
        <patternFill>
          <bgColor theme="9" tint="0.59996337778862885"/>
        </patternFill>
      </fill>
    </dxf>
    <dxf>
      <fill>
        <patternFill>
          <bgColor theme="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DE9294"/>
        </patternFill>
      </fill>
    </dxf>
    <dxf>
      <font>
        <b val="0"/>
        <i val="0"/>
      </font>
      <fill>
        <gradientFill degree="90">
          <stop position="0">
            <color rgb="FFFF00FF"/>
          </stop>
          <stop position="1">
            <color rgb="FFFF00FF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33CC3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E9294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9900"/>
        </patternFill>
      </fill>
    </dxf>
    <dxf>
      <fill>
        <patternFill>
          <bgColor rgb="FF33CC33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E9294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8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theme="8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50BC8"/>
      <color rgb="FFFF00FF"/>
      <color rgb="FF000000"/>
      <color rgb="FFCC3300"/>
      <color rgb="FFFF33CC"/>
      <color rgb="FFFC044B"/>
      <color rgb="FFA55B5B"/>
      <color rgb="FF959E62"/>
      <color rgb="FFCC99FF"/>
      <color rgb="FFFC9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46607810387338E-2"/>
          <c:y val="0.21649154148796171"/>
          <c:w val="0.93059452795673292"/>
          <c:h val="0.45985771522107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RESUMO!$C$6</c:f>
              <c:strCache>
                <c:ptCount val="1"/>
                <c:pt idx="0">
                  <c:v>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  <c:extLst xmlns:c15="http://schemas.microsoft.com/office/drawing/2012/chart"/>
            </c:strRef>
          </c:cat>
          <c:val>
            <c:numRef>
              <c:f>RESUMO!$C$7:$C$17</c:f>
              <c:numCache>
                <c:formatCode>General</c:formatCode>
                <c:ptCount val="11"/>
                <c:pt idx="5">
                  <c:v>2090</c:v>
                </c:pt>
                <c:pt idx="6">
                  <c:v>219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537-4FEF-B25E-18BDAB096720}"/>
            </c:ext>
          </c:extLst>
        </c:ser>
        <c:ser>
          <c:idx val="1"/>
          <c:order val="1"/>
          <c:tx>
            <c:v>BANCO DE HORAS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RESUMO!$D$7:$D$17</c:f>
              <c:numCache>
                <c:formatCode>General</c:formatCode>
                <c:ptCount val="11"/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7-4FEF-B25E-18BDAB096720}"/>
            </c:ext>
          </c:extLst>
        </c:ser>
        <c:ser>
          <c:idx val="2"/>
          <c:order val="2"/>
          <c:tx>
            <c:v>FALTA NÃO JUSTIFICADA</c:v>
          </c:tx>
          <c:spPr>
            <a:solidFill>
              <a:srgbClr val="FC98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RESUMO!$E$7:$E$17</c:f>
              <c:numCache>
                <c:formatCode>General</c:formatCode>
                <c:ptCount val="11"/>
                <c:pt idx="5">
                  <c:v>24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7-4FEF-B25E-18BDAB096720}"/>
            </c:ext>
          </c:extLst>
        </c:ser>
        <c:ser>
          <c:idx val="3"/>
          <c:order val="3"/>
          <c:tx>
            <c:v>FALTA JUSTIFICADA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RESUMO!$F$7:$F$17</c:f>
              <c:numCache>
                <c:formatCode>General</c:formatCode>
                <c:ptCount val="11"/>
                <c:pt idx="5">
                  <c:v>69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37-4FEF-B25E-18BDAB096720}"/>
            </c:ext>
          </c:extLst>
        </c:ser>
        <c:ser>
          <c:idx val="4"/>
          <c:order val="4"/>
          <c:tx>
            <c:v>AFASTAMENTO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RESUMO!$G$7:$G$17</c:f>
              <c:numCache>
                <c:formatCode>General</c:formatCode>
                <c:ptCount val="11"/>
                <c:pt idx="5">
                  <c:v>20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37-4FEF-B25E-18BDAB096720}"/>
            </c:ext>
          </c:extLst>
        </c:ser>
        <c:ser>
          <c:idx val="5"/>
          <c:order val="5"/>
          <c:tx>
            <c:v>ATRASOS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RESUMO!$H$7:$H$17</c:f>
              <c:numCache>
                <c:formatCode>General</c:formatCode>
                <c:ptCount val="11"/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37-4FEF-B25E-18BDAB096720}"/>
            </c:ext>
          </c:extLst>
        </c:ser>
        <c:ser>
          <c:idx val="6"/>
          <c:order val="6"/>
          <c:tx>
            <c:v>SAIDA ANTECIPADA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RESUMO!$B$7:$B$17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RESUMO!$I$7:$I$17</c:f>
              <c:numCache>
                <c:formatCode>General</c:formatCode>
                <c:ptCount val="11"/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37-4FEF-B25E-18BDAB096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735752"/>
        <c:axId val="107573017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RESUMO!$J$6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RESUMO!$B$7:$B$17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RESUMO!$J$7:$J$17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5">
                        <c:v>7</c:v>
                      </c:pt>
                      <c:pt idx="6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537-4FEF-B25E-18BDAB096720}"/>
                  </c:ext>
                </c:extLst>
              </c15:ser>
            </c15:filteredBarSeries>
          </c:ext>
        </c:extLst>
      </c:barChart>
      <c:catAx>
        <c:axId val="107573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1075730176"/>
        <c:crosses val="autoZero"/>
        <c:auto val="1"/>
        <c:lblAlgn val="ctr"/>
        <c:lblOffset val="100"/>
        <c:noMultiLvlLbl val="0"/>
      </c:catAx>
      <c:valAx>
        <c:axId val="1075730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757357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452397995705085E-2"/>
          <c:y val="0.78382652760402516"/>
          <c:w val="0.91392338741748191"/>
          <c:h val="9.1372466126443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Absenteismo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5980265125087211E-2"/>
          <c:y val="0.33294438980050817"/>
          <c:w val="0.93545433403103095"/>
          <c:h val="0.22851034557058045"/>
        </c:manualLayout>
      </c:layout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23660736"/>
        <c:axId val="723658440"/>
      </c:barChart>
      <c:catAx>
        <c:axId val="7236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723658440"/>
        <c:crosses val="autoZero"/>
        <c:auto val="1"/>
        <c:lblAlgn val="ctr"/>
        <c:lblOffset val="100"/>
        <c:noMultiLvlLbl val="0"/>
      </c:catAx>
      <c:valAx>
        <c:axId val="723658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366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ABSENTEÍSMO JUNHO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36-4AD4-87E7-807D898E8A8A}"/>
              </c:ext>
            </c:extLst>
          </c:dPt>
          <c:dPt>
            <c:idx val="2"/>
            <c:invertIfNegative val="0"/>
            <c:bubble3D val="0"/>
            <c:spPr>
              <a:solidFill>
                <a:srgbClr val="FC98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36-4AD4-87E7-807D898E8A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36-4AD4-87E7-807D898E8A8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543-4C2E-8195-84FE4EE9231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152-4AD6-B836-6AF1F956284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36-4AD4-87E7-807D898E8A8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36-4AD4-87E7-807D898E8A8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36-4AD4-87E7-807D898E8A8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43-4C2E-8195-84FE4EE9231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52-4AD6-B836-6AF1F9562844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B2-4A11-BF1F-18157B32AC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JUNHO!$F$5:$M$5</c:f>
              <c:strCache>
                <c:ptCount val="8"/>
                <c:pt idx="0">
                  <c:v>P</c:v>
                </c:pt>
                <c:pt idx="1">
                  <c:v>BH</c:v>
                </c:pt>
                <c:pt idx="2">
                  <c:v>FN</c:v>
                </c:pt>
                <c:pt idx="3">
                  <c:v>FJ</c:v>
                </c:pt>
                <c:pt idx="4">
                  <c:v>A</c:v>
                </c:pt>
                <c:pt idx="5">
                  <c:v>T</c:v>
                </c:pt>
                <c:pt idx="6">
                  <c:v>S</c:v>
                </c:pt>
                <c:pt idx="7">
                  <c:v>F</c:v>
                </c:pt>
              </c:strCache>
            </c:strRef>
          </c:cat>
          <c:val>
            <c:numRef>
              <c:f>JUNHO!$F$119:$M$119</c:f>
              <c:numCache>
                <c:formatCode>General</c:formatCode>
                <c:ptCount val="8"/>
                <c:pt idx="0">
                  <c:v>2090</c:v>
                </c:pt>
                <c:pt idx="1">
                  <c:v>0</c:v>
                </c:pt>
                <c:pt idx="2">
                  <c:v>24</c:v>
                </c:pt>
                <c:pt idx="3">
                  <c:v>69</c:v>
                </c:pt>
                <c:pt idx="4">
                  <c:v>20</c:v>
                </c:pt>
                <c:pt idx="5">
                  <c:v>0</c:v>
                </c:pt>
                <c:pt idx="6">
                  <c:v>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6-4AD4-87E7-807D898E8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564744"/>
        <c:axId val="430564024"/>
      </c:barChart>
      <c:catAx>
        <c:axId val="43056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564024"/>
        <c:crosses val="autoZero"/>
        <c:auto val="1"/>
        <c:lblAlgn val="ctr"/>
        <c:lblOffset val="100"/>
        <c:noMultiLvlLbl val="0"/>
      </c:catAx>
      <c:valAx>
        <c:axId val="43056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564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Absenteismo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5980265125087211E-2"/>
          <c:y val="0.33294438980050817"/>
          <c:w val="0.93545433403103095"/>
          <c:h val="0.22851034557058045"/>
        </c:manualLayout>
      </c:layout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23660736"/>
        <c:axId val="723658440"/>
      </c:barChart>
      <c:catAx>
        <c:axId val="7236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723658440"/>
        <c:crosses val="autoZero"/>
        <c:auto val="1"/>
        <c:lblAlgn val="ctr"/>
        <c:lblOffset val="100"/>
        <c:noMultiLvlLbl val="0"/>
      </c:catAx>
      <c:valAx>
        <c:axId val="723658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366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ABSENTEÍSMO JULHO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6-4D22-AB80-DC77872F6F0A}"/>
              </c:ext>
            </c:extLst>
          </c:dPt>
          <c:dPt>
            <c:idx val="2"/>
            <c:invertIfNegative val="0"/>
            <c:bubble3D val="0"/>
            <c:spPr>
              <a:solidFill>
                <a:srgbClr val="FC98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6-4D22-AB80-DC77872F6F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6-4D22-AB80-DC77872F6F0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A6-4D22-AB80-DC77872F6F0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BA6-4D22-AB80-DC77872F6F0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A6-4D22-AB80-DC77872F6F0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A6-4D22-AB80-DC77872F6F0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A6-4D22-AB80-DC77872F6F0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A6-4D22-AB80-DC77872F6F0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A6-4D22-AB80-DC77872F6F0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BA6-4D22-AB80-DC77872F6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JULHO!$F$5:$M$5</c:f>
              <c:strCache>
                <c:ptCount val="8"/>
                <c:pt idx="0">
                  <c:v>P</c:v>
                </c:pt>
                <c:pt idx="1">
                  <c:v>BH</c:v>
                </c:pt>
                <c:pt idx="2">
                  <c:v>FN</c:v>
                </c:pt>
                <c:pt idx="3">
                  <c:v>FJ</c:v>
                </c:pt>
                <c:pt idx="4">
                  <c:v>A</c:v>
                </c:pt>
                <c:pt idx="5">
                  <c:v>T</c:v>
                </c:pt>
                <c:pt idx="6">
                  <c:v>S</c:v>
                </c:pt>
                <c:pt idx="7">
                  <c:v>F</c:v>
                </c:pt>
              </c:strCache>
            </c:strRef>
          </c:cat>
          <c:val>
            <c:numRef>
              <c:f>JULHO!$F$119:$M$119</c:f>
              <c:numCache>
                <c:formatCode>General</c:formatCode>
                <c:ptCount val="8"/>
                <c:pt idx="0">
                  <c:v>219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BA6-4D22-AB80-DC77872F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564744"/>
        <c:axId val="430564024"/>
      </c:barChart>
      <c:catAx>
        <c:axId val="43056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564024"/>
        <c:crosses val="autoZero"/>
        <c:auto val="1"/>
        <c:lblAlgn val="ctr"/>
        <c:lblOffset val="100"/>
        <c:noMultiLvlLbl val="0"/>
      </c:catAx>
      <c:valAx>
        <c:axId val="43056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564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5</xdr:row>
      <xdr:rowOff>14287</xdr:rowOff>
    </xdr:from>
    <xdr:to>
      <xdr:col>27</xdr:col>
      <xdr:colOff>561975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CB0093-C15E-4093-AC67-A0C0A6162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138641</xdr:colOff>
      <xdr:row>120</xdr:row>
      <xdr:rowOff>127000</xdr:rowOff>
    </xdr:from>
    <xdr:to>
      <xdr:col>12</xdr:col>
      <xdr:colOff>214841</xdr:colOff>
      <xdr:row>140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146D3-D0D5-4B1B-AC36-C9A9321F8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3849</xdr:colOff>
      <xdr:row>120</xdr:row>
      <xdr:rowOff>134119</xdr:rowOff>
    </xdr:from>
    <xdr:to>
      <xdr:col>12</xdr:col>
      <xdr:colOff>202045</xdr:colOff>
      <xdr:row>140</xdr:row>
      <xdr:rowOff>115455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899709-125F-35E9-7279-BEC0F71E8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138641</xdr:colOff>
      <xdr:row>120</xdr:row>
      <xdr:rowOff>127000</xdr:rowOff>
    </xdr:from>
    <xdr:to>
      <xdr:col>12</xdr:col>
      <xdr:colOff>214841</xdr:colOff>
      <xdr:row>140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341B3-A243-43A5-A276-28317A0B7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3849</xdr:colOff>
      <xdr:row>120</xdr:row>
      <xdr:rowOff>134119</xdr:rowOff>
    </xdr:from>
    <xdr:to>
      <xdr:col>12</xdr:col>
      <xdr:colOff>202045</xdr:colOff>
      <xdr:row>140</xdr:row>
      <xdr:rowOff>115455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63746-EF93-4A91-9995-046A892CB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A052-A9CB-4FAD-9A0F-BE1FFCB438A9}">
  <dimension ref="B2:AK34"/>
  <sheetViews>
    <sheetView showGridLines="0" workbookViewId="0">
      <selection activeCell="G29" sqref="G29"/>
    </sheetView>
  </sheetViews>
  <sheetFormatPr defaultRowHeight="13.5"/>
  <cols>
    <col min="1" max="1" width="9.140625" style="1"/>
    <col min="2" max="2" width="13.85546875" style="1" bestFit="1" customWidth="1"/>
    <col min="3" max="3" width="10.5703125" style="1" bestFit="1" customWidth="1"/>
    <col min="4" max="16384" width="9.140625" style="1"/>
  </cols>
  <sheetData>
    <row r="2" spans="2:37" ht="12.75" customHeight="1">
      <c r="B2" s="67" t="s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</row>
    <row r="3" spans="2:37" ht="12.75" customHeight="1"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</row>
    <row r="5" spans="2:37" ht="14.25" thickBot="1"/>
    <row r="6" spans="2:37" ht="14.25" thickBot="1">
      <c r="B6" s="30" t="s">
        <v>1</v>
      </c>
      <c r="C6" s="42" t="s">
        <v>2</v>
      </c>
      <c r="D6" s="32" t="s">
        <v>3</v>
      </c>
      <c r="E6" s="32" t="s">
        <v>4</v>
      </c>
      <c r="F6" s="32" t="s">
        <v>5</v>
      </c>
      <c r="G6" s="33" t="s">
        <v>6</v>
      </c>
      <c r="H6" s="34" t="s">
        <v>7</v>
      </c>
      <c r="I6" s="35" t="s">
        <v>8</v>
      </c>
      <c r="J6" s="64" t="s">
        <v>9</v>
      </c>
      <c r="K6" s="30" t="s">
        <v>10</v>
      </c>
    </row>
    <row r="7" spans="2:37" ht="16.5">
      <c r="B7" s="47" t="s">
        <v>11</v>
      </c>
      <c r="C7" s="43"/>
      <c r="D7" s="31"/>
      <c r="E7" s="31"/>
      <c r="F7" s="31"/>
      <c r="G7" s="31"/>
      <c r="H7" s="31"/>
      <c r="I7" s="31"/>
      <c r="J7" s="31"/>
      <c r="K7" s="36">
        <f>SUM(C7:J7)</f>
        <v>0</v>
      </c>
    </row>
    <row r="8" spans="2:37" ht="16.5">
      <c r="B8" s="48" t="s">
        <v>12</v>
      </c>
      <c r="C8" s="44"/>
      <c r="D8" s="20"/>
      <c r="E8" s="20"/>
      <c r="F8" s="20"/>
      <c r="G8" s="20"/>
      <c r="H8" s="20"/>
      <c r="I8" s="20"/>
      <c r="J8" s="20"/>
      <c r="K8" s="29">
        <f>SUM(C8:J8)</f>
        <v>0</v>
      </c>
    </row>
    <row r="9" spans="2:37" ht="16.5">
      <c r="B9" s="48" t="s">
        <v>13</v>
      </c>
      <c r="C9" s="44"/>
      <c r="D9" s="20"/>
      <c r="E9" s="20"/>
      <c r="F9" s="20"/>
      <c r="G9" s="20"/>
      <c r="H9" s="20"/>
      <c r="I9" s="20"/>
      <c r="J9" s="20"/>
      <c r="K9" s="29">
        <f>SUM(C9:J9)</f>
        <v>0</v>
      </c>
    </row>
    <row r="10" spans="2:37" ht="16.5">
      <c r="B10" s="48" t="s">
        <v>14</v>
      </c>
      <c r="C10" s="44"/>
      <c r="D10" s="20"/>
      <c r="E10" s="20"/>
      <c r="F10" s="20"/>
      <c r="G10" s="20"/>
      <c r="H10" s="20"/>
      <c r="I10" s="20"/>
      <c r="J10" s="20"/>
      <c r="K10" s="29">
        <f t="shared" ref="K10:K18" si="0">SUM(C10:J10)</f>
        <v>0</v>
      </c>
    </row>
    <row r="11" spans="2:37" ht="16.5">
      <c r="B11" s="48" t="s">
        <v>15</v>
      </c>
      <c r="C11" s="44"/>
      <c r="D11" s="20"/>
      <c r="E11" s="20"/>
      <c r="F11" s="20"/>
      <c r="G11" s="20"/>
      <c r="H11" s="20"/>
      <c r="I11" s="20"/>
      <c r="J11" s="20"/>
      <c r="K11" s="29">
        <f t="shared" si="0"/>
        <v>0</v>
      </c>
    </row>
    <row r="12" spans="2:37" ht="16.5">
      <c r="B12" s="48" t="s">
        <v>16</v>
      </c>
      <c r="C12" s="44">
        <f>JUNHO!F119</f>
        <v>2090</v>
      </c>
      <c r="D12" s="20">
        <f>JUNHO!G119</f>
        <v>0</v>
      </c>
      <c r="E12" s="20">
        <f>JUNHO!H119</f>
        <v>24</v>
      </c>
      <c r="F12" s="20">
        <f>JUNHO!I119</f>
        <v>69</v>
      </c>
      <c r="G12" s="20">
        <f>JUNHO!J119</f>
        <v>20</v>
      </c>
      <c r="H12" s="20">
        <f>JUNHO!K119</f>
        <v>0</v>
      </c>
      <c r="I12" s="20">
        <f>JUNHO!L119</f>
        <v>2</v>
      </c>
      <c r="J12" s="20">
        <f>JUNHO!M119</f>
        <v>7</v>
      </c>
      <c r="K12" s="29">
        <f t="shared" si="0"/>
        <v>2212</v>
      </c>
    </row>
    <row r="13" spans="2:37" ht="16.5">
      <c r="B13" s="48" t="s">
        <v>17</v>
      </c>
      <c r="C13" s="44">
        <f>JULHO!F119</f>
        <v>219</v>
      </c>
      <c r="D13" s="20">
        <f>JULHO!G119</f>
        <v>0</v>
      </c>
      <c r="E13" s="20">
        <f>JULHO!H119</f>
        <v>1</v>
      </c>
      <c r="F13" s="20">
        <f>JULHO!I119</f>
        <v>6</v>
      </c>
      <c r="G13" s="20">
        <f>JULHO!J119</f>
        <v>3</v>
      </c>
      <c r="H13" s="20">
        <f>JULHO!K119</f>
        <v>1</v>
      </c>
      <c r="I13" s="20">
        <f>JULHO!L119</f>
        <v>2</v>
      </c>
      <c r="J13" s="20">
        <f>JULHO!M119</f>
        <v>1</v>
      </c>
      <c r="K13" s="29">
        <f t="shared" si="0"/>
        <v>233</v>
      </c>
    </row>
    <row r="14" spans="2:37" ht="16.5">
      <c r="B14" s="48" t="s">
        <v>18</v>
      </c>
      <c r="C14" s="44"/>
      <c r="D14" s="20"/>
      <c r="E14" s="20"/>
      <c r="F14" s="20"/>
      <c r="G14" s="20"/>
      <c r="H14" s="20"/>
      <c r="I14" s="20"/>
      <c r="J14" s="20"/>
      <c r="K14" s="29">
        <f t="shared" si="0"/>
        <v>0</v>
      </c>
    </row>
    <row r="15" spans="2:37" ht="16.5">
      <c r="B15" s="48" t="s">
        <v>19</v>
      </c>
      <c r="C15" s="44"/>
      <c r="D15" s="20"/>
      <c r="E15" s="20"/>
      <c r="F15" s="20"/>
      <c r="G15" s="20"/>
      <c r="H15" s="20"/>
      <c r="I15" s="20"/>
      <c r="J15" s="20"/>
      <c r="K15" s="29">
        <f t="shared" si="0"/>
        <v>0</v>
      </c>
    </row>
    <row r="16" spans="2:37" ht="16.5">
      <c r="B16" s="48" t="s">
        <v>20</v>
      </c>
      <c r="C16" s="44"/>
      <c r="D16" s="20"/>
      <c r="E16" s="20"/>
      <c r="F16" s="20"/>
      <c r="G16" s="20"/>
      <c r="H16" s="20"/>
      <c r="I16" s="20"/>
      <c r="J16" s="20"/>
      <c r="K16" s="29">
        <f t="shared" si="0"/>
        <v>0</v>
      </c>
    </row>
    <row r="17" spans="2:11" ht="16.5">
      <c r="B17" s="48" t="s">
        <v>21</v>
      </c>
      <c r="C17" s="44"/>
      <c r="D17" s="20"/>
      <c r="E17" s="20"/>
      <c r="F17" s="20"/>
      <c r="G17" s="20"/>
      <c r="H17" s="20"/>
      <c r="I17" s="20"/>
      <c r="J17" s="20"/>
      <c r="K17" s="29">
        <f t="shared" si="0"/>
        <v>0</v>
      </c>
    </row>
    <row r="18" spans="2:11" ht="17.25" thickBot="1">
      <c r="B18" s="49" t="s">
        <v>22</v>
      </c>
      <c r="C18" s="45"/>
      <c r="D18" s="39"/>
      <c r="E18" s="39"/>
      <c r="F18" s="39"/>
      <c r="G18" s="39"/>
      <c r="H18" s="39"/>
      <c r="I18" s="39"/>
      <c r="J18" s="39"/>
      <c r="K18" s="37">
        <f t="shared" si="0"/>
        <v>0</v>
      </c>
    </row>
    <row r="19" spans="2:11" ht="15.75" thickBot="1">
      <c r="B19" s="40" t="s">
        <v>10</v>
      </c>
      <c r="C19" s="46">
        <f>SUM(C7:C18)</f>
        <v>2309</v>
      </c>
      <c r="D19" s="38">
        <f t="shared" ref="D19:K19" si="1">SUM(D7:D18)</f>
        <v>0</v>
      </c>
      <c r="E19" s="38">
        <f t="shared" si="1"/>
        <v>25</v>
      </c>
      <c r="F19" s="38">
        <f t="shared" si="1"/>
        <v>75</v>
      </c>
      <c r="G19" s="38">
        <f t="shared" si="1"/>
        <v>23</v>
      </c>
      <c r="H19" s="38">
        <f t="shared" si="1"/>
        <v>1</v>
      </c>
      <c r="I19" s="38">
        <f t="shared" si="1"/>
        <v>4</v>
      </c>
      <c r="J19" s="38">
        <f t="shared" si="1"/>
        <v>8</v>
      </c>
      <c r="K19" s="38">
        <f t="shared" si="1"/>
        <v>2445</v>
      </c>
    </row>
    <row r="20" spans="2:11">
      <c r="B20" s="21"/>
    </row>
    <row r="21" spans="2:11">
      <c r="B21" s="21"/>
    </row>
    <row r="22" spans="2:11">
      <c r="B22" s="21"/>
    </row>
    <row r="23" spans="2:11">
      <c r="B23" s="21"/>
    </row>
    <row r="24" spans="2:11">
      <c r="B24" s="21"/>
    </row>
    <row r="25" spans="2:11">
      <c r="B25" s="21"/>
    </row>
    <row r="26" spans="2:11">
      <c r="B26" s="21"/>
    </row>
    <row r="27" spans="2:11">
      <c r="B27" s="21"/>
    </row>
    <row r="28" spans="2:11">
      <c r="B28" s="21"/>
    </row>
    <row r="29" spans="2:11">
      <c r="B29" s="21"/>
    </row>
    <row r="30" spans="2:11">
      <c r="B30" s="21"/>
    </row>
    <row r="31" spans="2:11">
      <c r="B31" s="21"/>
    </row>
    <row r="32" spans="2:11">
      <c r="B32" s="21"/>
    </row>
    <row r="33" spans="2:2">
      <c r="B33" s="21"/>
    </row>
    <row r="34" spans="2:2">
      <c r="B34" s="21"/>
    </row>
  </sheetData>
  <mergeCells count="1">
    <mergeCell ref="B2:AK3"/>
  </mergeCells>
  <phoneticPr fontId="1" type="noConversion"/>
  <conditionalFormatting sqref="C6">
    <cfRule type="containsText" dxfId="842" priority="8" operator="containsText" text="AT">
      <formula>NOT(ISERROR(SEARCH("AT",C6)))</formula>
    </cfRule>
    <cfRule type="containsText" dxfId="841" priority="23" stopIfTrue="1" operator="containsText" text="F">
      <formula>NOT(ISERROR(SEARCH("F",C6)))</formula>
    </cfRule>
    <cfRule type="containsText" dxfId="840" priority="7" operator="containsText" text="FJ">
      <formula>NOT(ISERROR(SEARCH("FJ",C6)))</formula>
    </cfRule>
    <cfRule type="containsText" dxfId="839" priority="15" stopIfTrue="1" operator="containsText" text="FN">
      <formula>NOT(ISERROR(SEARCH("FN",C6)))</formula>
    </cfRule>
    <cfRule type="containsText" dxfId="838" priority="9" operator="containsText" text="FJ">
      <formula>NOT(ISERROR(SEARCH("FJ",C6)))</formula>
    </cfRule>
    <cfRule type="containsText" dxfId="837" priority="10" stopIfTrue="1" operator="containsText" text="A">
      <formula>NOT(ISERROR(SEARCH("A",C6)))</formula>
    </cfRule>
    <cfRule type="containsText" dxfId="836" priority="11" stopIfTrue="1" operator="containsText" text="F">
      <formula>NOT(ISERROR(SEARCH("F",C6)))</formula>
    </cfRule>
    <cfRule type="containsText" dxfId="835" priority="12" stopIfTrue="1" operator="containsText" text="BH">
      <formula>NOT(ISERROR(SEARCH("BH",C6)))</formula>
    </cfRule>
    <cfRule type="containsText" dxfId="834" priority="13" stopIfTrue="1" operator="containsText" text="S.A">
      <formula>NOT(ISERROR(SEARCH("S.A",C6)))</formula>
    </cfRule>
    <cfRule type="containsText" dxfId="833" priority="14" stopIfTrue="1" operator="containsText" text="P">
      <formula>NOT(ISERROR(SEARCH("P",C6)))</formula>
    </cfRule>
    <cfRule type="containsText" dxfId="832" priority="16" stopIfTrue="1" operator="containsText" text="F">
      <formula>NOT(ISERROR(SEARCH("F",C6)))</formula>
    </cfRule>
    <cfRule type="containsText" dxfId="831" priority="17" stopIfTrue="1" operator="containsText" text="A">
      <formula>NOT(ISERROR(SEARCH("A",C6)))</formula>
    </cfRule>
    <cfRule type="containsText" dxfId="830" priority="18" stopIfTrue="1" operator="containsText" text="F">
      <formula>NOT(ISERROR(SEARCH("F",C6)))</formula>
    </cfRule>
    <cfRule type="containsText" dxfId="829" priority="19" stopIfTrue="1" operator="containsText" text="BH">
      <formula>NOT(ISERROR(SEARCH("BH",C6)))</formula>
    </cfRule>
    <cfRule type="containsText" dxfId="828" priority="20" stopIfTrue="1" operator="containsText" text="S.A">
      <formula>NOT(ISERROR(SEARCH("S.A",C6)))</formula>
    </cfRule>
    <cfRule type="containsText" dxfId="827" priority="21" stopIfTrue="1" operator="containsText" text="P">
      <formula>NOT(ISERROR(SEARCH("P",C6)))</formula>
    </cfRule>
    <cfRule type="containsText" dxfId="826" priority="22" stopIfTrue="1" operator="containsText" text="FN">
      <formula>NOT(ISERROR(SEARCH("FN",C6)))</formula>
    </cfRule>
  </conditionalFormatting>
  <conditionalFormatting sqref="D6:G6">
    <cfRule type="containsText" dxfId="825" priority="52" stopIfTrue="1" operator="containsText" text="F">
      <formula>NOT(ISERROR(SEARCH("F",D6)))</formula>
    </cfRule>
    <cfRule type="containsText" dxfId="824" priority="51" stopIfTrue="1" operator="containsText" text="FN">
      <formula>NOT(ISERROR(SEARCH("FN",D6)))</formula>
    </cfRule>
    <cfRule type="containsText" dxfId="823" priority="49" stopIfTrue="1" operator="containsText" text="S.A">
      <formula>NOT(ISERROR(SEARCH("S.A",D6)))</formula>
    </cfRule>
    <cfRule type="containsText" dxfId="822" priority="48" stopIfTrue="1" operator="containsText" text="BH">
      <formula>NOT(ISERROR(SEARCH("BH",D6)))</formula>
    </cfRule>
    <cfRule type="containsText" dxfId="821" priority="50" stopIfTrue="1" operator="containsText" text="P">
      <formula>NOT(ISERROR(SEARCH("P",D6)))</formula>
    </cfRule>
  </conditionalFormatting>
  <conditionalFormatting sqref="F6">
    <cfRule type="containsText" dxfId="820" priority="43" stopIfTrue="1" operator="containsText" text="P">
      <formula>NOT(ISERROR(SEARCH("P",F6)))</formula>
    </cfRule>
    <cfRule type="containsText" dxfId="819" priority="24" operator="containsText" text="FJ">
      <formula>NOT(ISERROR(SEARCH("FJ",F6)))</formula>
    </cfRule>
    <cfRule type="containsText" dxfId="818" priority="25" operator="containsText" text="AT">
      <formula>NOT(ISERROR(SEARCH("AT",F6)))</formula>
    </cfRule>
    <cfRule type="containsText" dxfId="817" priority="26" stopIfTrue="1" operator="containsText" text="A">
      <formula>NOT(ISERROR(SEARCH("A",F6)))</formula>
    </cfRule>
    <cfRule type="containsText" dxfId="816" priority="27" stopIfTrue="1" operator="containsText" text="F">
      <formula>NOT(ISERROR(SEARCH("F",F6)))</formula>
    </cfRule>
    <cfRule type="containsText" dxfId="815" priority="28" stopIfTrue="1" operator="containsText" text="BH">
      <formula>NOT(ISERROR(SEARCH("BH",F6)))</formula>
    </cfRule>
    <cfRule type="containsText" dxfId="814" priority="29" stopIfTrue="1" operator="containsText" text="S.A">
      <formula>NOT(ISERROR(SEARCH("S.A",F6)))</formula>
    </cfRule>
    <cfRule type="containsText" dxfId="813" priority="30" stopIfTrue="1" operator="containsText" text="P">
      <formula>NOT(ISERROR(SEARCH("P",F6)))</formula>
    </cfRule>
    <cfRule type="containsText" dxfId="812" priority="31" stopIfTrue="1" operator="containsText" text="FN">
      <formula>NOT(ISERROR(SEARCH("FN",F6)))</formula>
    </cfRule>
    <cfRule type="containsText" dxfId="811" priority="32" stopIfTrue="1" operator="containsText" text="F">
      <formula>NOT(ISERROR(SEARCH("F",F6)))</formula>
    </cfRule>
    <cfRule type="containsText" dxfId="810" priority="33" operator="containsText" text="FJ">
      <formula>NOT(ISERROR(SEARCH("FJ",F6)))</formula>
    </cfRule>
    <cfRule type="containsText" dxfId="809" priority="34" stopIfTrue="1" operator="containsText" text="A">
      <formula>NOT(ISERROR(SEARCH("A",F6)))</formula>
    </cfRule>
    <cfRule type="containsText" dxfId="808" priority="35" stopIfTrue="1" operator="containsText" text="F">
      <formula>NOT(ISERROR(SEARCH("F",F6)))</formula>
    </cfRule>
    <cfRule type="containsText" dxfId="807" priority="36" stopIfTrue="1" operator="containsText" text="BH">
      <formula>NOT(ISERROR(SEARCH("BH",F6)))</formula>
    </cfRule>
    <cfRule type="containsText" dxfId="806" priority="37" stopIfTrue="1" operator="containsText" text="S.A">
      <formula>NOT(ISERROR(SEARCH("S.A",F6)))</formula>
    </cfRule>
    <cfRule type="containsText" dxfId="805" priority="38" stopIfTrue="1" operator="containsText" text="P">
      <formula>NOT(ISERROR(SEARCH("P",F6)))</formula>
    </cfRule>
    <cfRule type="containsText" dxfId="804" priority="39" stopIfTrue="1" operator="containsText" text="FN">
      <formula>NOT(ISERROR(SEARCH("FN",F6)))</formula>
    </cfRule>
    <cfRule type="containsText" dxfId="803" priority="40" stopIfTrue="1" operator="containsText" text="F">
      <formula>NOT(ISERROR(SEARCH("F",F6)))</formula>
    </cfRule>
    <cfRule type="containsText" dxfId="802" priority="41" stopIfTrue="1" operator="containsText" text="BH">
      <formula>NOT(ISERROR(SEARCH("BH",F6)))</formula>
    </cfRule>
    <cfRule type="containsText" dxfId="801" priority="42" stopIfTrue="1" operator="containsText" text="S.A">
      <formula>NOT(ISERROR(SEARCH("S.A",F6)))</formula>
    </cfRule>
    <cfRule type="containsText" dxfId="800" priority="44" stopIfTrue="1" operator="containsText" text="FN">
      <formula>NOT(ISERROR(SEARCH("FN",F6)))</formula>
    </cfRule>
    <cfRule type="containsText" dxfId="799" priority="45" stopIfTrue="1" operator="containsText" text="F">
      <formula>NOT(ISERROR(SEARCH("F",F6)))</formula>
    </cfRule>
    <cfRule type="containsText" dxfId="798" priority="46" stopIfTrue="1" operator="containsText" text="A">
      <formula>NOT(ISERROR(SEARCH("A",F6)))</formula>
    </cfRule>
    <cfRule type="containsText" dxfId="797" priority="47" stopIfTrue="1" operator="containsText" text="F">
      <formula>NOT(ISERROR(SEARCH("F",F6)))</formula>
    </cfRule>
  </conditionalFormatting>
  <conditionalFormatting sqref="H6">
    <cfRule type="cellIs" dxfId="796" priority="2" operator="equal">
      <formula>"F"</formula>
    </cfRule>
    <cfRule type="cellIs" dxfId="795" priority="6" operator="equal">
      <formula>"P"</formula>
    </cfRule>
    <cfRule type="cellIs" dxfId="794" priority="5" operator="equal">
      <formula>"BH"</formula>
    </cfRule>
    <cfRule type="cellIs" dxfId="793" priority="1" operator="equal">
      <formula>"A"</formula>
    </cfRule>
    <cfRule type="cellIs" dxfId="792" priority="4" operator="equal">
      <formula>"FN"</formula>
    </cfRule>
    <cfRule type="containsText" dxfId="791" priority="3" operator="containsText" text="A.">
      <formula>NOT(ISERROR(SEARCH("A.",H6)))</formula>
    </cfRule>
  </conditionalFormatting>
  <conditionalFormatting sqref="J6">
    <cfRule type="containsText" dxfId="790" priority="53" stopIfTrue="1" operator="containsText" text="BH">
      <formula>NOT(ISERROR(SEARCH("BH",J6)))</formula>
    </cfRule>
    <cfRule type="containsText" dxfId="789" priority="54" stopIfTrue="1" operator="containsText" text="S.A">
      <formula>NOT(ISERROR(SEARCH("S.A",J6)))</formula>
    </cfRule>
    <cfRule type="containsText" dxfId="788" priority="55" stopIfTrue="1" operator="containsText" text="P">
      <formula>NOT(ISERROR(SEARCH("P",J6)))</formula>
    </cfRule>
    <cfRule type="containsText" dxfId="787" priority="56" stopIfTrue="1" operator="containsText" text="FN">
      <formula>NOT(ISERROR(SEARCH("FN",J6)))</formula>
    </cfRule>
    <cfRule type="containsText" dxfId="786" priority="57" stopIfTrue="1" operator="containsText" text="F">
      <formula>NOT(ISERROR(SEARCH("F",J6)))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7D4A-8E50-4650-99D7-89209E9F3877}">
  <sheetPr filterMode="1"/>
  <dimension ref="B2:AS149"/>
  <sheetViews>
    <sheetView showGridLines="0" tabSelected="1" zoomScale="99" zoomScaleNormal="99" workbookViewId="0">
      <pane ySplit="5" topLeftCell="A101" activePane="bottomLeft" state="frozen"/>
      <selection pane="bottomLeft" activeCell="A110" sqref="A110"/>
    </sheetView>
  </sheetViews>
  <sheetFormatPr defaultRowHeight="13.5"/>
  <cols>
    <col min="1" max="1" width="2.140625" style="1" customWidth="1"/>
    <col min="2" max="2" width="9.140625" style="25" customWidth="1"/>
    <col min="3" max="3" width="43" style="1" bestFit="1" customWidth="1"/>
    <col min="4" max="4" width="29.85546875" style="25" bestFit="1" customWidth="1"/>
    <col min="5" max="5" width="1.5703125" style="1" customWidth="1"/>
    <col min="6" max="6" width="4.85546875" style="1" customWidth="1"/>
    <col min="7" max="8" width="4.7109375" style="1" customWidth="1"/>
    <col min="9" max="9" width="4.28515625" style="1" customWidth="1"/>
    <col min="10" max="10" width="4.5703125" style="1" customWidth="1"/>
    <col min="11" max="11" width="4.42578125" style="1" customWidth="1"/>
    <col min="12" max="12" width="4.7109375" style="1" customWidth="1"/>
    <col min="13" max="13" width="4.5703125" style="1" customWidth="1"/>
    <col min="14" max="14" width="2.42578125" style="1" customWidth="1"/>
    <col min="15" max="16" width="5.28515625" style="1" hidden="1" customWidth="1"/>
    <col min="17" max="17" width="5.42578125" style="1" hidden="1" customWidth="1"/>
    <col min="18" max="20" width="5.28515625" style="1" hidden="1" customWidth="1"/>
    <col min="21" max="21" width="5.5703125" style="1" hidden="1" customWidth="1"/>
    <col min="22" max="23" width="5.28515625" style="1" hidden="1" customWidth="1"/>
    <col min="24" max="39" width="6.28515625" style="1" bestFit="1" customWidth="1"/>
    <col min="40" max="41" width="7.5703125" style="1" customWidth="1"/>
    <col min="42" max="44" width="7.5703125" style="1" bestFit="1" customWidth="1"/>
    <col min="45" max="16384" width="9.140625" style="1"/>
  </cols>
  <sheetData>
    <row r="2" spans="2:44" ht="15.75" customHeight="1">
      <c r="B2" s="65" t="s">
        <v>23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</row>
    <row r="3" spans="2:44" ht="33" customHeight="1"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</row>
    <row r="4" spans="2:44" ht="14.25" thickBot="1"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24</v>
      </c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24</v>
      </c>
      <c r="AK4" s="1" t="s">
        <v>25</v>
      </c>
      <c r="AL4" s="1" t="s">
        <v>26</v>
      </c>
      <c r="AM4" s="1" t="s">
        <v>27</v>
      </c>
      <c r="AN4" s="1" t="s">
        <v>28</v>
      </c>
      <c r="AO4" s="1" t="s">
        <v>29</v>
      </c>
      <c r="AP4" s="1" t="s">
        <v>30</v>
      </c>
      <c r="AQ4" s="1" t="s">
        <v>24</v>
      </c>
      <c r="AR4" s="1" t="s">
        <v>25</v>
      </c>
    </row>
    <row r="5" spans="2:44" ht="14.25" thickBot="1">
      <c r="B5" s="5" t="s">
        <v>31</v>
      </c>
      <c r="C5" s="5" t="s">
        <v>32</v>
      </c>
      <c r="D5" s="5" t="s">
        <v>33</v>
      </c>
      <c r="F5" s="11" t="s">
        <v>2</v>
      </c>
      <c r="G5" s="12" t="s">
        <v>3</v>
      </c>
      <c r="H5" s="41" t="s">
        <v>4</v>
      </c>
      <c r="I5" s="13" t="s">
        <v>5</v>
      </c>
      <c r="J5" s="14" t="s">
        <v>6</v>
      </c>
      <c r="K5" s="15" t="s">
        <v>7</v>
      </c>
      <c r="L5" s="55" t="s">
        <v>8</v>
      </c>
      <c r="M5" s="58" t="s">
        <v>9</v>
      </c>
      <c r="O5" s="3">
        <v>46174</v>
      </c>
      <c r="P5" s="3">
        <v>46175</v>
      </c>
      <c r="Q5" s="3">
        <v>46176</v>
      </c>
      <c r="R5" s="3">
        <v>46177</v>
      </c>
      <c r="S5" s="3">
        <v>46178</v>
      </c>
      <c r="T5" s="3">
        <v>46179</v>
      </c>
      <c r="U5" s="3">
        <v>46180</v>
      </c>
      <c r="V5" s="3">
        <v>46181</v>
      </c>
      <c r="W5" s="3">
        <v>46182</v>
      </c>
      <c r="X5" s="3">
        <v>46183</v>
      </c>
      <c r="Y5" s="3">
        <v>46184</v>
      </c>
      <c r="Z5" s="3">
        <v>46185</v>
      </c>
      <c r="AA5" s="3">
        <v>46186</v>
      </c>
      <c r="AB5" s="3">
        <v>46187</v>
      </c>
      <c r="AC5" s="3">
        <v>46188</v>
      </c>
      <c r="AD5" s="3">
        <v>46189</v>
      </c>
      <c r="AE5" s="3">
        <v>46190</v>
      </c>
      <c r="AF5" s="3">
        <v>46191</v>
      </c>
      <c r="AG5" s="3">
        <v>46192</v>
      </c>
      <c r="AH5" s="3">
        <v>46193</v>
      </c>
      <c r="AI5" s="3">
        <v>46194</v>
      </c>
      <c r="AJ5" s="3">
        <v>46195</v>
      </c>
      <c r="AK5" s="3">
        <v>46196</v>
      </c>
      <c r="AL5" s="3">
        <v>46197</v>
      </c>
      <c r="AM5" s="3">
        <v>46198</v>
      </c>
      <c r="AN5" s="3">
        <v>46199</v>
      </c>
      <c r="AO5" s="3">
        <v>46200</v>
      </c>
      <c r="AP5" s="3">
        <v>46201</v>
      </c>
      <c r="AQ5" s="3">
        <v>46202</v>
      </c>
      <c r="AR5" s="3">
        <v>46203</v>
      </c>
    </row>
    <row r="6" spans="2:44" ht="14.25" hidden="1">
      <c r="B6" s="28" t="s">
        <v>34</v>
      </c>
      <c r="C6" s="22" t="s">
        <v>35</v>
      </c>
      <c r="D6" s="26" t="s">
        <v>36</v>
      </c>
      <c r="F6" s="10">
        <f t="shared" ref="F6:F35" si="0">COUNTIF(O6:AR6,$F$5)</f>
        <v>20</v>
      </c>
      <c r="G6" s="10">
        <f t="shared" ref="G6:G35" si="1">COUNTIF(O6:AR6,$G$5)</f>
        <v>0</v>
      </c>
      <c r="H6" s="10">
        <f t="shared" ref="H6:H35" si="2">COUNTIF(O6:AR6,$H$5)</f>
        <v>0</v>
      </c>
      <c r="I6" s="10">
        <f t="shared" ref="I6:I35" si="3">COUNTIF(O6:AR6,$I$5)</f>
        <v>0</v>
      </c>
      <c r="J6" s="10">
        <f t="shared" ref="J6:J35" si="4">COUNTIF(O6:AR6,$J$5)</f>
        <v>0</v>
      </c>
      <c r="K6" s="10">
        <f t="shared" ref="K6:K35" si="5">COUNTIF(O6:AR6,$K$5)</f>
        <v>0</v>
      </c>
      <c r="L6" s="10">
        <f t="shared" ref="L6:L35" si="6">COUNTIF(O6:AR6,$L$5)</f>
        <v>0</v>
      </c>
      <c r="M6" s="10">
        <f t="shared" ref="M6:M35" si="7">COUNTIF(O6:AR6,$M$5)</f>
        <v>0</v>
      </c>
      <c r="O6" s="2" t="s">
        <v>2</v>
      </c>
      <c r="P6" s="2" t="s">
        <v>2</v>
      </c>
      <c r="Q6" s="2" t="s">
        <v>2</v>
      </c>
      <c r="R6" s="2"/>
      <c r="S6" s="2"/>
      <c r="T6" s="2"/>
      <c r="U6" s="2"/>
      <c r="V6" s="2" t="s">
        <v>2</v>
      </c>
      <c r="W6" s="2" t="s">
        <v>2</v>
      </c>
      <c r="X6" s="2" t="s">
        <v>2</v>
      </c>
      <c r="Y6" s="2" t="s">
        <v>2</v>
      </c>
      <c r="Z6" s="2" t="s">
        <v>2</v>
      </c>
      <c r="AA6" s="2"/>
      <c r="AB6" s="2"/>
      <c r="AC6" s="2" t="s">
        <v>2</v>
      </c>
      <c r="AD6" s="2" t="s">
        <v>2</v>
      </c>
      <c r="AE6" s="2" t="s">
        <v>2</v>
      </c>
      <c r="AF6" s="2" t="s">
        <v>2</v>
      </c>
      <c r="AG6" s="2" t="s">
        <v>2</v>
      </c>
      <c r="AH6" s="2"/>
      <c r="AI6" s="2"/>
      <c r="AJ6" s="2" t="s">
        <v>2</v>
      </c>
      <c r="AK6" s="2" t="s">
        <v>2</v>
      </c>
      <c r="AL6" s="2" t="s">
        <v>2</v>
      </c>
      <c r="AM6" s="2" t="s">
        <v>2</v>
      </c>
      <c r="AN6" s="2" t="s">
        <v>2</v>
      </c>
      <c r="AO6" s="2"/>
      <c r="AP6" s="2"/>
      <c r="AQ6" s="2" t="s">
        <v>2</v>
      </c>
      <c r="AR6" s="2" t="s">
        <v>2</v>
      </c>
    </row>
    <row r="7" spans="2:44" ht="14.25" hidden="1">
      <c r="B7" s="28" t="s">
        <v>34</v>
      </c>
      <c r="C7" s="22" t="s">
        <v>37</v>
      </c>
      <c r="D7" s="26" t="s">
        <v>38</v>
      </c>
      <c r="F7" s="10">
        <f t="shared" si="0"/>
        <v>20</v>
      </c>
      <c r="G7" s="10">
        <f t="shared" si="1"/>
        <v>0</v>
      </c>
      <c r="H7" s="10">
        <f t="shared" si="2"/>
        <v>0</v>
      </c>
      <c r="I7" s="10">
        <f t="shared" si="3"/>
        <v>0</v>
      </c>
      <c r="J7" s="10">
        <f t="shared" si="4"/>
        <v>0</v>
      </c>
      <c r="K7" s="10">
        <f t="shared" si="5"/>
        <v>0</v>
      </c>
      <c r="L7" s="10">
        <f t="shared" si="6"/>
        <v>0</v>
      </c>
      <c r="M7" s="10">
        <f t="shared" si="7"/>
        <v>0</v>
      </c>
      <c r="O7" s="2" t="s">
        <v>2</v>
      </c>
      <c r="P7" s="2" t="s">
        <v>2</v>
      </c>
      <c r="Q7" s="2" t="s">
        <v>2</v>
      </c>
      <c r="R7" s="2"/>
      <c r="S7" s="2"/>
      <c r="T7" s="2"/>
      <c r="U7" s="2"/>
      <c r="V7" s="2" t="s">
        <v>2</v>
      </c>
      <c r="W7" s="2" t="s">
        <v>2</v>
      </c>
      <c r="X7" s="23" t="s">
        <v>2</v>
      </c>
      <c r="Y7" s="2" t="s">
        <v>2</v>
      </c>
      <c r="Z7" s="2" t="s">
        <v>2</v>
      </c>
      <c r="AA7" s="2"/>
      <c r="AB7" s="2"/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s="2"/>
      <c r="AI7" s="2"/>
      <c r="AJ7" s="2" t="s">
        <v>2</v>
      </c>
      <c r="AK7" s="2" t="s">
        <v>2</v>
      </c>
      <c r="AL7" s="2" t="s">
        <v>2</v>
      </c>
      <c r="AM7" s="2" t="s">
        <v>2</v>
      </c>
      <c r="AN7" s="2" t="s">
        <v>2</v>
      </c>
      <c r="AO7" s="2"/>
      <c r="AP7" s="2"/>
      <c r="AQ7" s="2" t="s">
        <v>2</v>
      </c>
      <c r="AR7" s="2" t="s">
        <v>2</v>
      </c>
    </row>
    <row r="8" spans="2:44" ht="14.25" hidden="1">
      <c r="B8" s="28" t="s">
        <v>34</v>
      </c>
      <c r="C8" s="22" t="s">
        <v>39</v>
      </c>
      <c r="D8" s="26" t="s">
        <v>40</v>
      </c>
      <c r="F8" s="10">
        <f t="shared" si="0"/>
        <v>20</v>
      </c>
      <c r="G8" s="10">
        <f t="shared" si="1"/>
        <v>0</v>
      </c>
      <c r="H8" s="10">
        <f t="shared" si="2"/>
        <v>0</v>
      </c>
      <c r="I8" s="10">
        <f t="shared" si="3"/>
        <v>0</v>
      </c>
      <c r="J8" s="10">
        <f t="shared" si="4"/>
        <v>0</v>
      </c>
      <c r="K8" s="10">
        <f t="shared" si="5"/>
        <v>0</v>
      </c>
      <c r="L8" s="10">
        <f t="shared" si="6"/>
        <v>0</v>
      </c>
      <c r="M8" s="10">
        <f t="shared" si="7"/>
        <v>0</v>
      </c>
      <c r="O8" s="2" t="s">
        <v>2</v>
      </c>
      <c r="P8" s="2" t="s">
        <v>2</v>
      </c>
      <c r="Q8" s="2" t="s">
        <v>2</v>
      </c>
      <c r="R8" s="2"/>
      <c r="S8" s="2"/>
      <c r="T8" s="2"/>
      <c r="U8" s="2"/>
      <c r="V8" s="2" t="s">
        <v>2</v>
      </c>
      <c r="W8" s="2" t="s">
        <v>2</v>
      </c>
      <c r="X8" s="2" t="s">
        <v>2</v>
      </c>
      <c r="Y8" s="2" t="s">
        <v>2</v>
      </c>
      <c r="Z8" s="2" t="s">
        <v>2</v>
      </c>
      <c r="AA8" s="2"/>
      <c r="AB8" s="2"/>
      <c r="AC8" s="2" t="s">
        <v>2</v>
      </c>
      <c r="AD8" s="2" t="s">
        <v>2</v>
      </c>
      <c r="AE8" s="2" t="s">
        <v>2</v>
      </c>
      <c r="AF8" s="2" t="s">
        <v>2</v>
      </c>
      <c r="AG8" s="2" t="s">
        <v>2</v>
      </c>
      <c r="AH8" s="2"/>
      <c r="AI8" s="2"/>
      <c r="AJ8" s="2" t="s">
        <v>2</v>
      </c>
      <c r="AK8" s="2" t="s">
        <v>2</v>
      </c>
      <c r="AL8" s="2" t="s">
        <v>2</v>
      </c>
      <c r="AM8" s="2" t="s">
        <v>2</v>
      </c>
      <c r="AN8" s="2" t="s">
        <v>2</v>
      </c>
      <c r="AO8" s="2"/>
      <c r="AP8" s="2"/>
      <c r="AQ8" s="2" t="s">
        <v>2</v>
      </c>
      <c r="AR8" s="2" t="s">
        <v>2</v>
      </c>
    </row>
    <row r="9" spans="2:44" ht="14.25" hidden="1">
      <c r="B9" s="28" t="s">
        <v>34</v>
      </c>
      <c r="C9" s="22" t="s">
        <v>41</v>
      </c>
      <c r="D9" s="26" t="s">
        <v>36</v>
      </c>
      <c r="F9" s="10">
        <f t="shared" si="0"/>
        <v>20</v>
      </c>
      <c r="G9" s="10">
        <f t="shared" si="1"/>
        <v>0</v>
      </c>
      <c r="H9" s="10">
        <f t="shared" si="2"/>
        <v>0</v>
      </c>
      <c r="I9" s="10">
        <f t="shared" si="3"/>
        <v>0</v>
      </c>
      <c r="J9" s="10">
        <f t="shared" si="4"/>
        <v>0</v>
      </c>
      <c r="K9" s="10">
        <f t="shared" si="5"/>
        <v>0</v>
      </c>
      <c r="L9" s="10">
        <f t="shared" si="6"/>
        <v>0</v>
      </c>
      <c r="M9" s="10">
        <f t="shared" si="7"/>
        <v>0</v>
      </c>
      <c r="O9" s="2" t="s">
        <v>2</v>
      </c>
      <c r="P9" s="2" t="s">
        <v>2</v>
      </c>
      <c r="Q9" s="2" t="s">
        <v>2</v>
      </c>
      <c r="R9" s="2"/>
      <c r="S9" s="2"/>
      <c r="T9" s="2"/>
      <c r="U9" s="2"/>
      <c r="V9" s="2" t="s">
        <v>2</v>
      </c>
      <c r="W9" s="2" t="s">
        <v>2</v>
      </c>
      <c r="X9" s="2" t="s">
        <v>2</v>
      </c>
      <c r="Y9" s="2" t="s">
        <v>2</v>
      </c>
      <c r="Z9" s="2" t="s">
        <v>2</v>
      </c>
      <c r="AA9" s="2"/>
      <c r="AB9" s="2"/>
      <c r="AC9" s="2" t="s">
        <v>2</v>
      </c>
      <c r="AD9" s="2" t="s">
        <v>2</v>
      </c>
      <c r="AE9" s="2" t="s">
        <v>2</v>
      </c>
      <c r="AF9" s="2" t="s">
        <v>2</v>
      </c>
      <c r="AG9" s="2" t="s">
        <v>2</v>
      </c>
      <c r="AH9" s="2"/>
      <c r="AI9" s="2"/>
      <c r="AJ9" s="2" t="s">
        <v>2</v>
      </c>
      <c r="AK9" s="2" t="s">
        <v>2</v>
      </c>
      <c r="AL9" s="2" t="s">
        <v>2</v>
      </c>
      <c r="AM9" s="2" t="s">
        <v>2</v>
      </c>
      <c r="AN9" s="2" t="s">
        <v>2</v>
      </c>
      <c r="AO9" s="2"/>
      <c r="AP9" s="2"/>
      <c r="AQ9" s="2" t="s">
        <v>2</v>
      </c>
      <c r="AR9" s="2" t="s">
        <v>2</v>
      </c>
    </row>
    <row r="10" spans="2:44" ht="14.25" hidden="1">
      <c r="B10" s="28" t="s">
        <v>34</v>
      </c>
      <c r="C10" s="22" t="s">
        <v>42</v>
      </c>
      <c r="D10" s="26" t="s">
        <v>40</v>
      </c>
      <c r="F10" s="10">
        <f t="shared" si="0"/>
        <v>20</v>
      </c>
      <c r="G10" s="10">
        <f t="shared" si="1"/>
        <v>0</v>
      </c>
      <c r="H10" s="10">
        <f t="shared" si="2"/>
        <v>0</v>
      </c>
      <c r="I10" s="10">
        <f t="shared" si="3"/>
        <v>0</v>
      </c>
      <c r="J10" s="10">
        <f t="shared" si="4"/>
        <v>0</v>
      </c>
      <c r="K10" s="10">
        <f t="shared" si="5"/>
        <v>0</v>
      </c>
      <c r="L10" s="10">
        <f t="shared" si="6"/>
        <v>0</v>
      </c>
      <c r="M10" s="10">
        <f t="shared" si="7"/>
        <v>0</v>
      </c>
      <c r="O10" s="2" t="s">
        <v>2</v>
      </c>
      <c r="P10" s="2" t="s">
        <v>2</v>
      </c>
      <c r="Q10" s="2" t="s">
        <v>2</v>
      </c>
      <c r="R10" s="2"/>
      <c r="S10" s="2"/>
      <c r="T10" s="2"/>
      <c r="U10" s="2"/>
      <c r="V10" s="2" t="s">
        <v>2</v>
      </c>
      <c r="W10" s="2" t="s">
        <v>2</v>
      </c>
      <c r="X10" s="2" t="s">
        <v>2</v>
      </c>
      <c r="Y10" s="2" t="s">
        <v>2</v>
      </c>
      <c r="Z10" s="2" t="s">
        <v>2</v>
      </c>
      <c r="AA10" s="2"/>
      <c r="AB10" s="2"/>
      <c r="AC10" s="2" t="s">
        <v>2</v>
      </c>
      <c r="AD10" s="2" t="s">
        <v>2</v>
      </c>
      <c r="AE10" s="2" t="s">
        <v>2</v>
      </c>
      <c r="AF10" s="2" t="s">
        <v>2</v>
      </c>
      <c r="AG10" s="2" t="s">
        <v>2</v>
      </c>
      <c r="AH10" s="2"/>
      <c r="AI10" s="2"/>
      <c r="AJ10" s="2" t="s">
        <v>2</v>
      </c>
      <c r="AK10" s="2" t="s">
        <v>2</v>
      </c>
      <c r="AL10" s="2" t="s">
        <v>2</v>
      </c>
      <c r="AM10" s="2" t="s">
        <v>2</v>
      </c>
      <c r="AN10" s="2" t="s">
        <v>2</v>
      </c>
      <c r="AO10" s="2"/>
      <c r="AP10" s="2"/>
      <c r="AQ10" s="2" t="s">
        <v>2</v>
      </c>
      <c r="AR10" s="2" t="s">
        <v>2</v>
      </c>
    </row>
    <row r="11" spans="2:44" ht="14.25" hidden="1">
      <c r="B11" s="28" t="s">
        <v>34</v>
      </c>
      <c r="C11" s="22" t="s">
        <v>43</v>
      </c>
      <c r="D11" s="26" t="s">
        <v>44</v>
      </c>
      <c r="F11" s="10">
        <f t="shared" si="0"/>
        <v>20</v>
      </c>
      <c r="G11" s="10">
        <f t="shared" si="1"/>
        <v>0</v>
      </c>
      <c r="H11" s="10">
        <f t="shared" si="2"/>
        <v>0</v>
      </c>
      <c r="I11" s="10">
        <f t="shared" si="3"/>
        <v>0</v>
      </c>
      <c r="J11" s="10">
        <f t="shared" si="4"/>
        <v>0</v>
      </c>
      <c r="K11" s="10">
        <f t="shared" si="5"/>
        <v>0</v>
      </c>
      <c r="L11" s="10">
        <f t="shared" si="6"/>
        <v>0</v>
      </c>
      <c r="M11" s="10">
        <f t="shared" si="7"/>
        <v>0</v>
      </c>
      <c r="O11" s="2" t="s">
        <v>2</v>
      </c>
      <c r="P11" s="2" t="s">
        <v>2</v>
      </c>
      <c r="Q11" s="2" t="s">
        <v>2</v>
      </c>
      <c r="R11" s="2"/>
      <c r="S11" s="2"/>
      <c r="T11" s="2"/>
      <c r="U11" s="2"/>
      <c r="V11" s="2" t="s">
        <v>2</v>
      </c>
      <c r="W11" s="2" t="s">
        <v>2</v>
      </c>
      <c r="X11" s="2" t="s">
        <v>2</v>
      </c>
      <c r="Y11" s="2" t="s">
        <v>2</v>
      </c>
      <c r="Z11" s="2" t="s">
        <v>2</v>
      </c>
      <c r="AA11" s="2"/>
      <c r="AB11" s="2"/>
      <c r="AC11" s="2" t="s">
        <v>2</v>
      </c>
      <c r="AD11" s="2" t="s">
        <v>2</v>
      </c>
      <c r="AE11" s="2" t="s">
        <v>2</v>
      </c>
      <c r="AF11" s="2" t="s">
        <v>2</v>
      </c>
      <c r="AG11" s="2" t="s">
        <v>2</v>
      </c>
      <c r="AH11" s="2"/>
      <c r="AI11" s="2"/>
      <c r="AJ11" s="2" t="s">
        <v>2</v>
      </c>
      <c r="AK11" s="2" t="s">
        <v>2</v>
      </c>
      <c r="AL11" s="2" t="s">
        <v>2</v>
      </c>
      <c r="AM11" s="2" t="s">
        <v>2</v>
      </c>
      <c r="AN11" s="2" t="s">
        <v>2</v>
      </c>
      <c r="AO11" s="2"/>
      <c r="AP11" s="2"/>
      <c r="AQ11" s="2" t="s">
        <v>2</v>
      </c>
      <c r="AR11" s="2" t="s">
        <v>2</v>
      </c>
    </row>
    <row r="12" spans="2:44" ht="14.25" hidden="1">
      <c r="B12" s="28" t="s">
        <v>34</v>
      </c>
      <c r="C12" s="22" t="s">
        <v>45</v>
      </c>
      <c r="D12" s="26" t="s">
        <v>40</v>
      </c>
      <c r="F12" s="10">
        <f t="shared" si="0"/>
        <v>20</v>
      </c>
      <c r="G12" s="10">
        <f t="shared" si="1"/>
        <v>0</v>
      </c>
      <c r="H12" s="10">
        <f t="shared" si="2"/>
        <v>0</v>
      </c>
      <c r="I12" s="10">
        <f t="shared" si="3"/>
        <v>0</v>
      </c>
      <c r="J12" s="10">
        <f t="shared" si="4"/>
        <v>0</v>
      </c>
      <c r="K12" s="10">
        <f t="shared" si="5"/>
        <v>0</v>
      </c>
      <c r="L12" s="10">
        <f t="shared" si="6"/>
        <v>0</v>
      </c>
      <c r="M12" s="10">
        <f t="shared" si="7"/>
        <v>0</v>
      </c>
      <c r="O12" s="2" t="s">
        <v>2</v>
      </c>
      <c r="P12" s="2" t="s">
        <v>2</v>
      </c>
      <c r="Q12" s="2" t="s">
        <v>2</v>
      </c>
      <c r="R12" s="2"/>
      <c r="S12" s="2"/>
      <c r="T12" s="2"/>
      <c r="U12" s="2"/>
      <c r="V12" s="2" t="s">
        <v>2</v>
      </c>
      <c r="W12" s="2" t="s">
        <v>2</v>
      </c>
      <c r="X12" s="2" t="s">
        <v>2</v>
      </c>
      <c r="Y12" s="2" t="s">
        <v>2</v>
      </c>
      <c r="Z12" s="2" t="s">
        <v>2</v>
      </c>
      <c r="AA12" s="2"/>
      <c r="AB12" s="2"/>
      <c r="AC12" s="2" t="s">
        <v>2</v>
      </c>
      <c r="AD12" s="2" t="s">
        <v>2</v>
      </c>
      <c r="AE12" s="2" t="s">
        <v>2</v>
      </c>
      <c r="AF12" s="2" t="s">
        <v>2</v>
      </c>
      <c r="AG12" s="2" t="s">
        <v>2</v>
      </c>
      <c r="AH12" s="2"/>
      <c r="AI12" s="2"/>
      <c r="AJ12" s="2" t="s">
        <v>2</v>
      </c>
      <c r="AK12" s="2" t="s">
        <v>2</v>
      </c>
      <c r="AL12" s="2" t="s">
        <v>2</v>
      </c>
      <c r="AM12" s="2" t="s">
        <v>2</v>
      </c>
      <c r="AN12" s="2" t="s">
        <v>2</v>
      </c>
      <c r="AO12" s="2"/>
      <c r="AP12" s="2"/>
      <c r="AQ12" s="2" t="s">
        <v>2</v>
      </c>
      <c r="AR12" s="2" t="s">
        <v>2</v>
      </c>
    </row>
    <row r="13" spans="2:44" ht="14.25" hidden="1">
      <c r="B13" s="28" t="s">
        <v>34</v>
      </c>
      <c r="C13" s="22" t="s">
        <v>46</v>
      </c>
      <c r="D13" s="26" t="s">
        <v>47</v>
      </c>
      <c r="F13" s="10">
        <f t="shared" si="0"/>
        <v>19</v>
      </c>
      <c r="G13" s="10">
        <f t="shared" si="1"/>
        <v>0</v>
      </c>
      <c r="H13" s="10">
        <f t="shared" si="2"/>
        <v>0</v>
      </c>
      <c r="I13" s="10">
        <f t="shared" si="3"/>
        <v>1</v>
      </c>
      <c r="J13" s="10">
        <f t="shared" si="4"/>
        <v>0</v>
      </c>
      <c r="K13" s="10">
        <f t="shared" si="5"/>
        <v>0</v>
      </c>
      <c r="L13" s="10">
        <f t="shared" si="6"/>
        <v>0</v>
      </c>
      <c r="M13" s="10">
        <f t="shared" si="7"/>
        <v>0</v>
      </c>
      <c r="O13" s="2" t="s">
        <v>2</v>
      </c>
      <c r="P13" s="2" t="s">
        <v>2</v>
      </c>
      <c r="Q13" s="2" t="s">
        <v>2</v>
      </c>
      <c r="R13" s="2"/>
      <c r="S13" s="2"/>
      <c r="T13" s="2"/>
      <c r="U13" s="2"/>
      <c r="V13" s="2" t="s">
        <v>2</v>
      </c>
      <c r="W13" s="2" t="s">
        <v>2</v>
      </c>
      <c r="X13" s="2" t="s">
        <v>2</v>
      </c>
      <c r="Y13" s="2" t="s">
        <v>2</v>
      </c>
      <c r="Z13" s="2" t="s">
        <v>2</v>
      </c>
      <c r="AA13" s="2"/>
      <c r="AB13" s="2"/>
      <c r="AC13" s="2" t="s">
        <v>2</v>
      </c>
      <c r="AD13" s="2" t="s">
        <v>2</v>
      </c>
      <c r="AE13" s="2" t="s">
        <v>2</v>
      </c>
      <c r="AF13" s="2" t="s">
        <v>5</v>
      </c>
      <c r="AG13" s="2" t="s">
        <v>2</v>
      </c>
      <c r="AH13" s="2"/>
      <c r="AI13" s="2"/>
      <c r="AJ13" s="2" t="s">
        <v>2</v>
      </c>
      <c r="AK13" s="2" t="s">
        <v>2</v>
      </c>
      <c r="AL13" s="2" t="s">
        <v>2</v>
      </c>
      <c r="AM13" s="2" t="s">
        <v>2</v>
      </c>
      <c r="AN13" s="2" t="s">
        <v>2</v>
      </c>
      <c r="AO13" s="2"/>
      <c r="AP13" s="2"/>
      <c r="AQ13" s="2" t="s">
        <v>2</v>
      </c>
      <c r="AR13" s="2" t="s">
        <v>2</v>
      </c>
    </row>
    <row r="14" spans="2:44" ht="14.25" hidden="1">
      <c r="B14" s="28" t="s">
        <v>34</v>
      </c>
      <c r="C14" s="22" t="s">
        <v>48</v>
      </c>
      <c r="D14" s="26" t="s">
        <v>49</v>
      </c>
      <c r="F14" s="10">
        <f t="shared" si="0"/>
        <v>20</v>
      </c>
      <c r="G14" s="10">
        <f t="shared" si="1"/>
        <v>0</v>
      </c>
      <c r="H14" s="10">
        <f t="shared" si="2"/>
        <v>0</v>
      </c>
      <c r="I14" s="10">
        <f t="shared" si="3"/>
        <v>0</v>
      </c>
      <c r="J14" s="10">
        <f t="shared" si="4"/>
        <v>0</v>
      </c>
      <c r="K14" s="10">
        <f t="shared" si="5"/>
        <v>0</v>
      </c>
      <c r="L14" s="10">
        <f t="shared" si="6"/>
        <v>0</v>
      </c>
      <c r="M14" s="10">
        <f t="shared" si="7"/>
        <v>0</v>
      </c>
      <c r="O14" s="2" t="s">
        <v>2</v>
      </c>
      <c r="P14" s="2" t="s">
        <v>2</v>
      </c>
      <c r="Q14" s="2" t="s">
        <v>2</v>
      </c>
      <c r="R14" s="2"/>
      <c r="S14" s="2"/>
      <c r="T14" s="2"/>
      <c r="U14" s="2"/>
      <c r="V14" s="2" t="s">
        <v>2</v>
      </c>
      <c r="W14" s="2" t="s">
        <v>2</v>
      </c>
      <c r="X14" s="2" t="s">
        <v>2</v>
      </c>
      <c r="Y14" s="2" t="s">
        <v>2</v>
      </c>
      <c r="Z14" s="2" t="s">
        <v>2</v>
      </c>
      <c r="AA14" s="2"/>
      <c r="AB14" s="2"/>
      <c r="AC14" s="2" t="s">
        <v>2</v>
      </c>
      <c r="AD14" s="2" t="s">
        <v>2</v>
      </c>
      <c r="AE14" s="2" t="s">
        <v>2</v>
      </c>
      <c r="AF14" s="2" t="s">
        <v>2</v>
      </c>
      <c r="AG14" s="2" t="s">
        <v>2</v>
      </c>
      <c r="AH14" s="2"/>
      <c r="AI14" s="2"/>
      <c r="AJ14" s="2" t="s">
        <v>2</v>
      </c>
      <c r="AK14" s="2" t="s">
        <v>2</v>
      </c>
      <c r="AL14" s="2" t="s">
        <v>2</v>
      </c>
      <c r="AM14" s="2" t="s">
        <v>2</v>
      </c>
      <c r="AN14" s="2" t="s">
        <v>2</v>
      </c>
      <c r="AO14" s="2"/>
      <c r="AP14" s="2"/>
      <c r="AQ14" s="2" t="s">
        <v>2</v>
      </c>
      <c r="AR14" s="2" t="s">
        <v>2</v>
      </c>
    </row>
    <row r="15" spans="2:44" ht="14.25" hidden="1">
      <c r="B15" s="28" t="s">
        <v>34</v>
      </c>
      <c r="C15" s="22" t="s">
        <v>50</v>
      </c>
      <c r="D15" s="26" t="s">
        <v>51</v>
      </c>
      <c r="F15" s="10">
        <f t="shared" si="0"/>
        <v>20</v>
      </c>
      <c r="G15" s="10">
        <f t="shared" si="1"/>
        <v>0</v>
      </c>
      <c r="H15" s="10">
        <f t="shared" si="2"/>
        <v>0</v>
      </c>
      <c r="I15" s="10">
        <f t="shared" si="3"/>
        <v>0</v>
      </c>
      <c r="J15" s="10">
        <f t="shared" si="4"/>
        <v>0</v>
      </c>
      <c r="K15" s="10">
        <f t="shared" si="5"/>
        <v>0</v>
      </c>
      <c r="L15" s="10">
        <f t="shared" si="6"/>
        <v>0</v>
      </c>
      <c r="M15" s="10">
        <f t="shared" si="7"/>
        <v>0</v>
      </c>
      <c r="O15" s="2" t="s">
        <v>2</v>
      </c>
      <c r="P15" s="2" t="s">
        <v>2</v>
      </c>
      <c r="Q15" s="2" t="s">
        <v>2</v>
      </c>
      <c r="R15" s="2"/>
      <c r="S15" s="2"/>
      <c r="T15" s="2"/>
      <c r="U15" s="2"/>
      <c r="V15" s="2" t="s">
        <v>2</v>
      </c>
      <c r="W15" s="2" t="s">
        <v>2</v>
      </c>
      <c r="X15" s="2" t="s">
        <v>2</v>
      </c>
      <c r="Y15" s="2" t="s">
        <v>2</v>
      </c>
      <c r="Z15" s="2" t="s">
        <v>2</v>
      </c>
      <c r="AA15" s="2"/>
      <c r="AB15" s="2"/>
      <c r="AC15" s="2" t="s">
        <v>2</v>
      </c>
      <c r="AD15" s="2" t="s">
        <v>2</v>
      </c>
      <c r="AE15" s="2" t="s">
        <v>2</v>
      </c>
      <c r="AF15" s="2" t="s">
        <v>2</v>
      </c>
      <c r="AG15" s="2" t="s">
        <v>2</v>
      </c>
      <c r="AH15" s="2"/>
      <c r="AI15" s="2"/>
      <c r="AJ15" s="2" t="s">
        <v>2</v>
      </c>
      <c r="AK15" s="2" t="s">
        <v>2</v>
      </c>
      <c r="AL15" s="2" t="s">
        <v>2</v>
      </c>
      <c r="AM15" s="2" t="s">
        <v>2</v>
      </c>
      <c r="AN15" s="2" t="s">
        <v>2</v>
      </c>
      <c r="AO15" s="2"/>
      <c r="AP15" s="2"/>
      <c r="AQ15" s="2" t="s">
        <v>2</v>
      </c>
      <c r="AR15" s="2" t="s">
        <v>2</v>
      </c>
    </row>
    <row r="16" spans="2:44" ht="14.25" hidden="1">
      <c r="B16" s="28" t="s">
        <v>34</v>
      </c>
      <c r="C16" s="22" t="s">
        <v>52</v>
      </c>
      <c r="D16" s="26" t="s">
        <v>40</v>
      </c>
      <c r="F16" s="10">
        <f t="shared" si="0"/>
        <v>20</v>
      </c>
      <c r="G16" s="10">
        <f t="shared" si="1"/>
        <v>0</v>
      </c>
      <c r="H16" s="10">
        <f t="shared" si="2"/>
        <v>0</v>
      </c>
      <c r="I16" s="10">
        <f t="shared" si="3"/>
        <v>0</v>
      </c>
      <c r="J16" s="10">
        <f t="shared" si="4"/>
        <v>0</v>
      </c>
      <c r="K16" s="10">
        <f t="shared" si="5"/>
        <v>0</v>
      </c>
      <c r="L16" s="10">
        <f t="shared" si="6"/>
        <v>0</v>
      </c>
      <c r="M16" s="10">
        <f t="shared" si="7"/>
        <v>0</v>
      </c>
      <c r="O16" s="2" t="s">
        <v>2</v>
      </c>
      <c r="P16" s="2" t="s">
        <v>2</v>
      </c>
      <c r="Q16" s="2" t="s">
        <v>2</v>
      </c>
      <c r="R16" s="2"/>
      <c r="S16" s="2"/>
      <c r="T16" s="2"/>
      <c r="U16" s="2"/>
      <c r="V16" s="2" t="s">
        <v>2</v>
      </c>
      <c r="W16" s="2" t="s">
        <v>2</v>
      </c>
      <c r="X16" s="2" t="s">
        <v>2</v>
      </c>
      <c r="Y16" s="2" t="s">
        <v>2</v>
      </c>
      <c r="Z16" s="2" t="s">
        <v>2</v>
      </c>
      <c r="AA16" s="2"/>
      <c r="AB16" s="2"/>
      <c r="AC16" s="2" t="s">
        <v>2</v>
      </c>
      <c r="AD16" s="2" t="s">
        <v>2</v>
      </c>
      <c r="AE16" s="2" t="s">
        <v>2</v>
      </c>
      <c r="AF16" s="2" t="s">
        <v>2</v>
      </c>
      <c r="AG16" s="2" t="s">
        <v>2</v>
      </c>
      <c r="AH16" s="2"/>
      <c r="AI16" s="2"/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/>
      <c r="AP16" s="2"/>
      <c r="AQ16" s="2" t="s">
        <v>2</v>
      </c>
      <c r="AR16" s="2" t="s">
        <v>2</v>
      </c>
    </row>
    <row r="17" spans="2:44" ht="14.25" hidden="1">
      <c r="B17" s="28" t="s">
        <v>34</v>
      </c>
      <c r="C17" s="22" t="s">
        <v>53</v>
      </c>
      <c r="D17" s="26" t="s">
        <v>40</v>
      </c>
      <c r="F17" s="10">
        <f t="shared" si="0"/>
        <v>20</v>
      </c>
      <c r="G17" s="10">
        <f t="shared" si="1"/>
        <v>0</v>
      </c>
      <c r="H17" s="10">
        <f t="shared" si="2"/>
        <v>0</v>
      </c>
      <c r="I17" s="10">
        <f t="shared" si="3"/>
        <v>0</v>
      </c>
      <c r="J17" s="10">
        <f t="shared" si="4"/>
        <v>0</v>
      </c>
      <c r="K17" s="10">
        <f t="shared" si="5"/>
        <v>0</v>
      </c>
      <c r="L17" s="10">
        <f t="shared" si="6"/>
        <v>0</v>
      </c>
      <c r="M17" s="10">
        <f t="shared" si="7"/>
        <v>0</v>
      </c>
      <c r="O17" s="2" t="s">
        <v>2</v>
      </c>
      <c r="P17" s="2" t="s">
        <v>2</v>
      </c>
      <c r="Q17" s="2" t="s">
        <v>2</v>
      </c>
      <c r="R17" s="2"/>
      <c r="S17" s="2"/>
      <c r="T17" s="2"/>
      <c r="U17" s="2"/>
      <c r="V17" s="2" t="s">
        <v>2</v>
      </c>
      <c r="W17" s="2" t="s">
        <v>2</v>
      </c>
      <c r="X17" s="2" t="s">
        <v>2</v>
      </c>
      <c r="Y17" s="2" t="s">
        <v>2</v>
      </c>
      <c r="Z17" s="2" t="s">
        <v>2</v>
      </c>
      <c r="AA17" s="2"/>
      <c r="AB17" s="2"/>
      <c r="AC17" s="2" t="s">
        <v>2</v>
      </c>
      <c r="AD17" s="2" t="s">
        <v>2</v>
      </c>
      <c r="AE17" s="2" t="s">
        <v>2</v>
      </c>
      <c r="AF17" s="2" t="s">
        <v>2</v>
      </c>
      <c r="AG17" s="2" t="s">
        <v>2</v>
      </c>
      <c r="AH17" s="2"/>
      <c r="AI17" s="2"/>
      <c r="AJ17" s="2" t="s">
        <v>2</v>
      </c>
      <c r="AK17" s="2" t="s">
        <v>2</v>
      </c>
      <c r="AL17" s="2" t="s">
        <v>2</v>
      </c>
      <c r="AM17" s="2" t="s">
        <v>2</v>
      </c>
      <c r="AN17" s="2" t="s">
        <v>2</v>
      </c>
      <c r="AO17" s="2"/>
      <c r="AP17" s="2"/>
      <c r="AQ17" s="2" t="s">
        <v>2</v>
      </c>
      <c r="AR17" s="2" t="s">
        <v>2</v>
      </c>
    </row>
    <row r="18" spans="2:44" ht="14.25" hidden="1">
      <c r="B18" s="28" t="s">
        <v>34</v>
      </c>
      <c r="C18" s="22" t="s">
        <v>54</v>
      </c>
      <c r="D18" s="26" t="s">
        <v>40</v>
      </c>
      <c r="F18" s="10">
        <f t="shared" si="0"/>
        <v>20</v>
      </c>
      <c r="G18" s="10">
        <f t="shared" si="1"/>
        <v>0</v>
      </c>
      <c r="H18" s="10">
        <f t="shared" si="2"/>
        <v>0</v>
      </c>
      <c r="I18" s="10">
        <f t="shared" si="3"/>
        <v>0</v>
      </c>
      <c r="J18" s="10">
        <f t="shared" si="4"/>
        <v>0</v>
      </c>
      <c r="K18" s="10">
        <f t="shared" si="5"/>
        <v>0</v>
      </c>
      <c r="L18" s="10">
        <f t="shared" si="6"/>
        <v>0</v>
      </c>
      <c r="M18" s="10">
        <f t="shared" si="7"/>
        <v>0</v>
      </c>
      <c r="O18" s="2" t="s">
        <v>2</v>
      </c>
      <c r="P18" s="2" t="s">
        <v>2</v>
      </c>
      <c r="Q18" s="2" t="s">
        <v>2</v>
      </c>
      <c r="R18" s="2"/>
      <c r="S18" s="2"/>
      <c r="T18" s="2"/>
      <c r="U18" s="2"/>
      <c r="V18" s="2" t="s">
        <v>2</v>
      </c>
      <c r="W18" s="2" t="s">
        <v>2</v>
      </c>
      <c r="X18" s="2" t="s">
        <v>2</v>
      </c>
      <c r="Y18" s="2" t="s">
        <v>2</v>
      </c>
      <c r="Z18" s="2" t="s">
        <v>2</v>
      </c>
      <c r="AA18" s="2"/>
      <c r="AB18" s="2"/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/>
      <c r="AI18" s="2"/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/>
      <c r="AP18" s="2"/>
      <c r="AQ18" s="2" t="s">
        <v>2</v>
      </c>
      <c r="AR18" s="2" t="s">
        <v>2</v>
      </c>
    </row>
    <row r="19" spans="2:44" ht="14.25" hidden="1">
      <c r="B19" s="28" t="s">
        <v>34</v>
      </c>
      <c r="C19" s="22" t="s">
        <v>55</v>
      </c>
      <c r="D19" s="26" t="s">
        <v>56</v>
      </c>
      <c r="F19" s="10">
        <f t="shared" si="0"/>
        <v>13</v>
      </c>
      <c r="G19" s="10">
        <f t="shared" si="1"/>
        <v>0</v>
      </c>
      <c r="H19" s="10">
        <f t="shared" si="2"/>
        <v>0</v>
      </c>
      <c r="I19" s="10">
        <f t="shared" si="3"/>
        <v>0</v>
      </c>
      <c r="J19" s="10">
        <f t="shared" si="4"/>
        <v>0</v>
      </c>
      <c r="K19" s="10">
        <f t="shared" si="5"/>
        <v>0</v>
      </c>
      <c r="L19" s="10">
        <f t="shared" si="6"/>
        <v>0</v>
      </c>
      <c r="M19" s="10">
        <f t="shared" si="7"/>
        <v>7</v>
      </c>
      <c r="O19" s="2" t="s">
        <v>2</v>
      </c>
      <c r="P19" s="2" t="s">
        <v>2</v>
      </c>
      <c r="Q19" s="2" t="s">
        <v>2</v>
      </c>
      <c r="R19" s="2"/>
      <c r="S19" s="2"/>
      <c r="T19" s="2"/>
      <c r="U19" s="2"/>
      <c r="V19" s="2" t="s">
        <v>2</v>
      </c>
      <c r="W19" s="2" t="s">
        <v>2</v>
      </c>
      <c r="X19" s="2" t="s">
        <v>2</v>
      </c>
      <c r="Y19" s="2" t="s">
        <v>2</v>
      </c>
      <c r="Z19" s="2" t="s">
        <v>2</v>
      </c>
      <c r="AA19" s="2"/>
      <c r="AB19" s="2"/>
      <c r="AC19" s="2" t="s">
        <v>2</v>
      </c>
      <c r="AD19" s="2" t="s">
        <v>2</v>
      </c>
      <c r="AE19" s="2" t="s">
        <v>2</v>
      </c>
      <c r="AF19" s="2" t="s">
        <v>2</v>
      </c>
      <c r="AG19" s="2" t="s">
        <v>2</v>
      </c>
      <c r="AH19" s="2"/>
      <c r="AI19" s="2"/>
      <c r="AJ19" s="59" t="s">
        <v>9</v>
      </c>
      <c r="AK19" s="59" t="s">
        <v>9</v>
      </c>
      <c r="AL19" s="59" t="s">
        <v>9</v>
      </c>
      <c r="AM19" s="59" t="s">
        <v>9</v>
      </c>
      <c r="AN19" s="59" t="s">
        <v>9</v>
      </c>
      <c r="AO19" s="2"/>
      <c r="AP19" s="2"/>
      <c r="AQ19" s="59" t="s">
        <v>9</v>
      </c>
      <c r="AR19" s="59" t="s">
        <v>9</v>
      </c>
    </row>
    <row r="20" spans="2:44" ht="14.25" hidden="1">
      <c r="B20" s="28" t="s">
        <v>34</v>
      </c>
      <c r="C20" s="22" t="s">
        <v>57</v>
      </c>
      <c r="D20" s="26" t="s">
        <v>40</v>
      </c>
      <c r="F20" s="10">
        <f t="shared" si="0"/>
        <v>20</v>
      </c>
      <c r="G20" s="10">
        <f t="shared" si="1"/>
        <v>0</v>
      </c>
      <c r="H20" s="10">
        <f t="shared" si="2"/>
        <v>0</v>
      </c>
      <c r="I20" s="10">
        <f t="shared" si="3"/>
        <v>0</v>
      </c>
      <c r="J20" s="10">
        <f t="shared" si="4"/>
        <v>0</v>
      </c>
      <c r="K20" s="10">
        <f t="shared" si="5"/>
        <v>0</v>
      </c>
      <c r="L20" s="10">
        <f t="shared" si="6"/>
        <v>0</v>
      </c>
      <c r="M20" s="10">
        <f t="shared" si="7"/>
        <v>0</v>
      </c>
      <c r="O20" s="2" t="s">
        <v>2</v>
      </c>
      <c r="P20" s="2" t="s">
        <v>2</v>
      </c>
      <c r="Q20" s="2" t="s">
        <v>2</v>
      </c>
      <c r="R20" s="2"/>
      <c r="S20" s="2"/>
      <c r="T20" s="2"/>
      <c r="U20" s="2"/>
      <c r="V20" s="2" t="s">
        <v>2</v>
      </c>
      <c r="W20" s="2" t="s">
        <v>2</v>
      </c>
      <c r="X20" s="2" t="s">
        <v>2</v>
      </c>
      <c r="Y20" s="2" t="s">
        <v>2</v>
      </c>
      <c r="Z20" s="2" t="s">
        <v>2</v>
      </c>
      <c r="AA20" s="2"/>
      <c r="AB20" s="2"/>
      <c r="AC20" s="2" t="s">
        <v>2</v>
      </c>
      <c r="AD20" s="2" t="s">
        <v>2</v>
      </c>
      <c r="AE20" s="2" t="s">
        <v>2</v>
      </c>
      <c r="AF20" s="2" t="s">
        <v>2</v>
      </c>
      <c r="AG20" s="2" t="s">
        <v>2</v>
      </c>
      <c r="AH20" s="2"/>
      <c r="AI20" s="2"/>
      <c r="AJ20" s="2" t="s">
        <v>2</v>
      </c>
      <c r="AK20" s="2" t="s">
        <v>2</v>
      </c>
      <c r="AL20" s="2" t="s">
        <v>2</v>
      </c>
      <c r="AM20" s="2" t="s">
        <v>2</v>
      </c>
      <c r="AN20" s="2" t="s">
        <v>2</v>
      </c>
      <c r="AO20" s="2"/>
      <c r="AP20" s="2"/>
      <c r="AQ20" s="2" t="s">
        <v>2</v>
      </c>
      <c r="AR20" s="2" t="s">
        <v>2</v>
      </c>
    </row>
    <row r="21" spans="2:44" ht="14.25" hidden="1">
      <c r="B21" s="28" t="s">
        <v>34</v>
      </c>
      <c r="C21" s="22" t="s">
        <v>58</v>
      </c>
      <c r="D21" s="26" t="s">
        <v>36</v>
      </c>
      <c r="F21" s="10">
        <f t="shared" si="0"/>
        <v>20</v>
      </c>
      <c r="G21" s="10">
        <f t="shared" si="1"/>
        <v>0</v>
      </c>
      <c r="H21" s="10">
        <f t="shared" si="2"/>
        <v>0</v>
      </c>
      <c r="I21" s="10">
        <f t="shared" si="3"/>
        <v>0</v>
      </c>
      <c r="J21" s="10">
        <f t="shared" si="4"/>
        <v>0</v>
      </c>
      <c r="K21" s="10">
        <f t="shared" si="5"/>
        <v>0</v>
      </c>
      <c r="L21" s="10">
        <f t="shared" si="6"/>
        <v>0</v>
      </c>
      <c r="M21" s="10">
        <f t="shared" si="7"/>
        <v>0</v>
      </c>
      <c r="O21" s="2" t="s">
        <v>2</v>
      </c>
      <c r="P21" s="2" t="s">
        <v>2</v>
      </c>
      <c r="Q21" s="2" t="s">
        <v>2</v>
      </c>
      <c r="R21" s="2"/>
      <c r="S21" s="2"/>
      <c r="T21" s="2"/>
      <c r="U21" s="2"/>
      <c r="V21" s="2" t="s">
        <v>2</v>
      </c>
      <c r="W21" s="2" t="s">
        <v>2</v>
      </c>
      <c r="X21" s="2" t="s">
        <v>2</v>
      </c>
      <c r="Y21" s="2" t="s">
        <v>2</v>
      </c>
      <c r="Z21" s="2" t="s">
        <v>2</v>
      </c>
      <c r="AA21" s="2"/>
      <c r="AB21" s="2"/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/>
      <c r="AI21" s="2"/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/>
      <c r="AP21" s="2"/>
      <c r="AQ21" s="2" t="s">
        <v>2</v>
      </c>
      <c r="AR21" s="2" t="s">
        <v>2</v>
      </c>
    </row>
    <row r="22" spans="2:44" ht="14.25" hidden="1">
      <c r="B22" s="28" t="s">
        <v>34</v>
      </c>
      <c r="C22" s="22" t="s">
        <v>59</v>
      </c>
      <c r="D22" s="26" t="s">
        <v>49</v>
      </c>
      <c r="F22" s="10">
        <f t="shared" si="0"/>
        <v>20</v>
      </c>
      <c r="G22" s="10">
        <f t="shared" si="1"/>
        <v>0</v>
      </c>
      <c r="H22" s="10">
        <f t="shared" si="2"/>
        <v>0</v>
      </c>
      <c r="I22" s="10">
        <f t="shared" si="3"/>
        <v>0</v>
      </c>
      <c r="J22" s="10">
        <f t="shared" si="4"/>
        <v>0</v>
      </c>
      <c r="K22" s="10">
        <f t="shared" si="5"/>
        <v>0</v>
      </c>
      <c r="L22" s="10">
        <f t="shared" si="6"/>
        <v>0</v>
      </c>
      <c r="M22" s="10">
        <f t="shared" si="7"/>
        <v>0</v>
      </c>
      <c r="O22" s="2" t="s">
        <v>2</v>
      </c>
      <c r="P22" s="2" t="s">
        <v>2</v>
      </c>
      <c r="Q22" s="2" t="s">
        <v>2</v>
      </c>
      <c r="R22" s="2"/>
      <c r="S22" s="2"/>
      <c r="T22" s="2"/>
      <c r="U22" s="2"/>
      <c r="V22" s="2" t="s">
        <v>2</v>
      </c>
      <c r="W22" s="2" t="s">
        <v>2</v>
      </c>
      <c r="X22" s="2" t="s">
        <v>2</v>
      </c>
      <c r="Y22" s="2" t="s">
        <v>2</v>
      </c>
      <c r="Z22" s="2" t="s">
        <v>2</v>
      </c>
      <c r="AA22" s="2"/>
      <c r="AB22" s="2"/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/>
      <c r="AI22" s="2"/>
      <c r="AJ22" s="2" t="s">
        <v>2</v>
      </c>
      <c r="AK22" s="2" t="s">
        <v>2</v>
      </c>
      <c r="AL22" s="2" t="s">
        <v>2</v>
      </c>
      <c r="AM22" s="2" t="s">
        <v>2</v>
      </c>
      <c r="AN22" s="2" t="s">
        <v>2</v>
      </c>
      <c r="AO22" s="2"/>
      <c r="AP22" s="2"/>
      <c r="AQ22" s="2" t="s">
        <v>2</v>
      </c>
      <c r="AR22" s="2" t="s">
        <v>2</v>
      </c>
    </row>
    <row r="23" spans="2:44" ht="14.25" hidden="1">
      <c r="B23" s="28" t="s">
        <v>34</v>
      </c>
      <c r="C23" s="22" t="s">
        <v>60</v>
      </c>
      <c r="D23" s="26" t="s">
        <v>40</v>
      </c>
      <c r="F23" s="10">
        <f t="shared" si="0"/>
        <v>20</v>
      </c>
      <c r="G23" s="10">
        <f t="shared" si="1"/>
        <v>0</v>
      </c>
      <c r="H23" s="10">
        <f t="shared" si="2"/>
        <v>0</v>
      </c>
      <c r="I23" s="10">
        <f t="shared" si="3"/>
        <v>0</v>
      </c>
      <c r="J23" s="10">
        <f t="shared" si="4"/>
        <v>0</v>
      </c>
      <c r="K23" s="10">
        <f t="shared" si="5"/>
        <v>0</v>
      </c>
      <c r="L23" s="10">
        <f t="shared" si="6"/>
        <v>0</v>
      </c>
      <c r="M23" s="10">
        <f t="shared" si="7"/>
        <v>0</v>
      </c>
      <c r="O23" s="2" t="s">
        <v>2</v>
      </c>
      <c r="P23" s="2" t="s">
        <v>2</v>
      </c>
      <c r="Q23" s="2" t="s">
        <v>2</v>
      </c>
      <c r="R23" s="2"/>
      <c r="S23" s="2"/>
      <c r="T23" s="2"/>
      <c r="U23" s="2"/>
      <c r="V23" s="2" t="s">
        <v>2</v>
      </c>
      <c r="W23" s="2" t="s">
        <v>2</v>
      </c>
      <c r="X23" s="2" t="s">
        <v>2</v>
      </c>
      <c r="Y23" s="2" t="s">
        <v>2</v>
      </c>
      <c r="Z23" s="2" t="s">
        <v>2</v>
      </c>
      <c r="AA23" s="2"/>
      <c r="AB23" s="2"/>
      <c r="AC23" s="2" t="s">
        <v>2</v>
      </c>
      <c r="AD23" s="2" t="s">
        <v>2</v>
      </c>
      <c r="AE23" s="2" t="s">
        <v>2</v>
      </c>
      <c r="AF23" s="2" t="s">
        <v>2</v>
      </c>
      <c r="AG23" s="2" t="s">
        <v>2</v>
      </c>
      <c r="AH23" s="2"/>
      <c r="AI23" s="2"/>
      <c r="AJ23" s="2" t="s">
        <v>2</v>
      </c>
      <c r="AK23" s="2" t="s">
        <v>2</v>
      </c>
      <c r="AL23" s="2" t="s">
        <v>2</v>
      </c>
      <c r="AM23" s="2" t="s">
        <v>2</v>
      </c>
      <c r="AN23" s="2" t="s">
        <v>2</v>
      </c>
      <c r="AO23" s="2"/>
      <c r="AP23" s="2"/>
      <c r="AQ23" s="2" t="s">
        <v>2</v>
      </c>
      <c r="AR23" s="2" t="s">
        <v>2</v>
      </c>
    </row>
    <row r="24" spans="2:44" ht="14.25" hidden="1">
      <c r="B24" s="28" t="s">
        <v>34</v>
      </c>
      <c r="C24" s="22" t="s">
        <v>61</v>
      </c>
      <c r="D24" s="26" t="s">
        <v>40</v>
      </c>
      <c r="F24" s="10">
        <f t="shared" si="0"/>
        <v>20</v>
      </c>
      <c r="G24" s="10">
        <f t="shared" si="1"/>
        <v>0</v>
      </c>
      <c r="H24" s="10">
        <f t="shared" si="2"/>
        <v>0</v>
      </c>
      <c r="I24" s="10">
        <f t="shared" si="3"/>
        <v>0</v>
      </c>
      <c r="J24" s="10">
        <f t="shared" si="4"/>
        <v>0</v>
      </c>
      <c r="K24" s="10">
        <f t="shared" si="5"/>
        <v>0</v>
      </c>
      <c r="L24" s="10">
        <f t="shared" si="6"/>
        <v>0</v>
      </c>
      <c r="M24" s="10">
        <f t="shared" si="7"/>
        <v>0</v>
      </c>
      <c r="O24" s="2" t="s">
        <v>2</v>
      </c>
      <c r="P24" s="2" t="s">
        <v>2</v>
      </c>
      <c r="Q24" s="2" t="s">
        <v>2</v>
      </c>
      <c r="R24" s="2"/>
      <c r="S24" s="2"/>
      <c r="T24" s="2"/>
      <c r="U24" s="2"/>
      <c r="V24" s="2" t="s">
        <v>2</v>
      </c>
      <c r="W24" s="2" t="s">
        <v>2</v>
      </c>
      <c r="X24" s="2" t="s">
        <v>2</v>
      </c>
      <c r="Y24" s="2" t="s">
        <v>2</v>
      </c>
      <c r="Z24" s="2" t="s">
        <v>2</v>
      </c>
      <c r="AA24" s="2"/>
      <c r="AB24" s="2"/>
      <c r="AC24" s="2" t="s">
        <v>2</v>
      </c>
      <c r="AD24" s="2" t="s">
        <v>2</v>
      </c>
      <c r="AE24" s="2" t="s">
        <v>2</v>
      </c>
      <c r="AF24" s="2" t="s">
        <v>2</v>
      </c>
      <c r="AG24" s="2" t="s">
        <v>2</v>
      </c>
      <c r="AH24" s="2"/>
      <c r="AI24" s="2"/>
      <c r="AJ24" s="2" t="s">
        <v>2</v>
      </c>
      <c r="AK24" s="2" t="s">
        <v>2</v>
      </c>
      <c r="AL24" s="2" t="s">
        <v>2</v>
      </c>
      <c r="AM24" s="2" t="s">
        <v>2</v>
      </c>
      <c r="AN24" s="2" t="s">
        <v>2</v>
      </c>
      <c r="AO24" s="2"/>
      <c r="AP24" s="2"/>
      <c r="AQ24" s="2" t="s">
        <v>2</v>
      </c>
      <c r="AR24" s="2" t="s">
        <v>2</v>
      </c>
    </row>
    <row r="25" spans="2:44" ht="14.25" hidden="1">
      <c r="B25" s="28" t="s">
        <v>34</v>
      </c>
      <c r="C25" s="22" t="s">
        <v>62</v>
      </c>
      <c r="D25" s="26" t="s">
        <v>63</v>
      </c>
      <c r="F25" s="10">
        <f t="shared" si="0"/>
        <v>20</v>
      </c>
      <c r="G25" s="10">
        <f t="shared" si="1"/>
        <v>0</v>
      </c>
      <c r="H25" s="10">
        <f t="shared" si="2"/>
        <v>0</v>
      </c>
      <c r="I25" s="10">
        <f t="shared" si="3"/>
        <v>0</v>
      </c>
      <c r="J25" s="10">
        <f t="shared" si="4"/>
        <v>0</v>
      </c>
      <c r="K25" s="10">
        <f t="shared" si="5"/>
        <v>0</v>
      </c>
      <c r="L25" s="10">
        <f t="shared" si="6"/>
        <v>0</v>
      </c>
      <c r="M25" s="10">
        <f t="shared" si="7"/>
        <v>0</v>
      </c>
      <c r="O25" s="2" t="s">
        <v>2</v>
      </c>
      <c r="P25" s="2" t="s">
        <v>2</v>
      </c>
      <c r="Q25" s="2" t="s">
        <v>2</v>
      </c>
      <c r="R25" s="2"/>
      <c r="S25" s="2"/>
      <c r="T25" s="2"/>
      <c r="U25" s="2"/>
      <c r="V25" s="2" t="s">
        <v>2</v>
      </c>
      <c r="W25" s="2" t="s">
        <v>2</v>
      </c>
      <c r="X25" s="2" t="s">
        <v>2</v>
      </c>
      <c r="Y25" s="2" t="s">
        <v>2</v>
      </c>
      <c r="Z25" s="2" t="s">
        <v>2</v>
      </c>
      <c r="AA25" s="2"/>
      <c r="AB25" s="2"/>
      <c r="AC25" s="2" t="s">
        <v>2</v>
      </c>
      <c r="AD25" s="2" t="s">
        <v>2</v>
      </c>
      <c r="AE25" s="2" t="s">
        <v>2</v>
      </c>
      <c r="AF25" s="2" t="s">
        <v>2</v>
      </c>
      <c r="AG25" s="2" t="s">
        <v>2</v>
      </c>
      <c r="AH25" s="2"/>
      <c r="AI25" s="2"/>
      <c r="AJ25" s="2" t="s">
        <v>2</v>
      </c>
      <c r="AK25" s="2" t="s">
        <v>2</v>
      </c>
      <c r="AL25" s="2" t="s">
        <v>2</v>
      </c>
      <c r="AM25" s="2" t="s">
        <v>2</v>
      </c>
      <c r="AN25" s="2" t="s">
        <v>2</v>
      </c>
      <c r="AO25" s="2"/>
      <c r="AP25" s="2"/>
      <c r="AQ25" s="2" t="s">
        <v>2</v>
      </c>
      <c r="AR25" s="2" t="s">
        <v>2</v>
      </c>
    </row>
    <row r="26" spans="2:44" ht="14.25" hidden="1">
      <c r="B26" s="28" t="s">
        <v>34</v>
      </c>
      <c r="C26" s="22" t="s">
        <v>64</v>
      </c>
      <c r="D26" s="26" t="s">
        <v>49</v>
      </c>
      <c r="F26" s="10">
        <f t="shared" si="0"/>
        <v>17</v>
      </c>
      <c r="G26" s="10">
        <f t="shared" si="1"/>
        <v>0</v>
      </c>
      <c r="H26" s="10">
        <f t="shared" si="2"/>
        <v>0</v>
      </c>
      <c r="I26" s="10">
        <f t="shared" si="3"/>
        <v>3</v>
      </c>
      <c r="J26" s="10">
        <f t="shared" si="4"/>
        <v>0</v>
      </c>
      <c r="K26" s="10">
        <f t="shared" si="5"/>
        <v>0</v>
      </c>
      <c r="L26" s="10">
        <f t="shared" si="6"/>
        <v>0</v>
      </c>
      <c r="M26" s="10">
        <f t="shared" si="7"/>
        <v>0</v>
      </c>
      <c r="O26" s="2" t="s">
        <v>2</v>
      </c>
      <c r="P26" s="2" t="s">
        <v>2</v>
      </c>
      <c r="Q26" s="2" t="s">
        <v>2</v>
      </c>
      <c r="R26" s="2"/>
      <c r="S26" s="2"/>
      <c r="T26" s="2"/>
      <c r="U26" s="2"/>
      <c r="V26" s="2" t="s">
        <v>2</v>
      </c>
      <c r="W26" s="2" t="s">
        <v>2</v>
      </c>
      <c r="X26" s="2" t="s">
        <v>2</v>
      </c>
      <c r="Y26" s="2" t="s">
        <v>2</v>
      </c>
      <c r="Z26" s="2" t="s">
        <v>2</v>
      </c>
      <c r="AA26" s="2"/>
      <c r="AB26" s="2"/>
      <c r="AC26" s="2" t="s">
        <v>2</v>
      </c>
      <c r="AD26" s="2" t="s">
        <v>2</v>
      </c>
      <c r="AE26" s="2" t="s">
        <v>2</v>
      </c>
      <c r="AF26" s="2" t="s">
        <v>2</v>
      </c>
      <c r="AG26" s="2" t="s">
        <v>2</v>
      </c>
      <c r="AH26" s="2"/>
      <c r="AI26" s="2"/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5</v>
      </c>
      <c r="AO26" s="2"/>
      <c r="AP26" s="2"/>
      <c r="AQ26" s="2" t="s">
        <v>5</v>
      </c>
      <c r="AR26" s="2" t="s">
        <v>5</v>
      </c>
    </row>
    <row r="27" spans="2:44" ht="14.25" hidden="1">
      <c r="B27" s="28" t="s">
        <v>65</v>
      </c>
      <c r="C27" s="22" t="s">
        <v>66</v>
      </c>
      <c r="D27" s="26" t="s">
        <v>36</v>
      </c>
      <c r="F27" s="10">
        <f t="shared" si="0"/>
        <v>20</v>
      </c>
      <c r="G27" s="10">
        <f t="shared" si="1"/>
        <v>0</v>
      </c>
      <c r="H27" s="10">
        <f t="shared" si="2"/>
        <v>0</v>
      </c>
      <c r="I27" s="10">
        <f t="shared" si="3"/>
        <v>0</v>
      </c>
      <c r="J27" s="10">
        <f t="shared" si="4"/>
        <v>0</v>
      </c>
      <c r="K27" s="10">
        <f t="shared" si="5"/>
        <v>0</v>
      </c>
      <c r="L27" s="10">
        <f t="shared" si="6"/>
        <v>0</v>
      </c>
      <c r="M27" s="10">
        <f t="shared" si="7"/>
        <v>0</v>
      </c>
      <c r="O27" s="2" t="s">
        <v>2</v>
      </c>
      <c r="P27" s="2" t="s">
        <v>2</v>
      </c>
      <c r="Q27" s="2" t="s">
        <v>2</v>
      </c>
      <c r="R27" s="2"/>
      <c r="S27" s="2"/>
      <c r="T27" s="2"/>
      <c r="U27" s="2"/>
      <c r="V27" s="2" t="s">
        <v>2</v>
      </c>
      <c r="W27" s="2" t="s">
        <v>2</v>
      </c>
      <c r="X27" s="2" t="s">
        <v>2</v>
      </c>
      <c r="Y27" s="2" t="s">
        <v>2</v>
      </c>
      <c r="Z27" s="2" t="s">
        <v>2</v>
      </c>
      <c r="AA27" s="2"/>
      <c r="AB27" s="2"/>
      <c r="AC27" s="2" t="s">
        <v>2</v>
      </c>
      <c r="AD27" s="2" t="s">
        <v>2</v>
      </c>
      <c r="AE27" s="2" t="s">
        <v>2</v>
      </c>
      <c r="AF27" s="2" t="s">
        <v>2</v>
      </c>
      <c r="AG27" s="2" t="s">
        <v>2</v>
      </c>
      <c r="AH27" s="2"/>
      <c r="AI27" s="2"/>
      <c r="AJ27" s="2" t="s">
        <v>2</v>
      </c>
      <c r="AK27" s="2" t="s">
        <v>2</v>
      </c>
      <c r="AL27" s="2" t="s">
        <v>2</v>
      </c>
      <c r="AM27" s="2" t="s">
        <v>2</v>
      </c>
      <c r="AN27" s="2" t="s">
        <v>2</v>
      </c>
      <c r="AO27" s="2"/>
      <c r="AP27" s="2"/>
      <c r="AQ27" s="2" t="s">
        <v>2</v>
      </c>
      <c r="AR27" s="2" t="s">
        <v>2</v>
      </c>
    </row>
    <row r="28" spans="2:44" ht="14.25" hidden="1">
      <c r="B28" s="28" t="s">
        <v>65</v>
      </c>
      <c r="C28" s="22" t="s">
        <v>67</v>
      </c>
      <c r="D28" s="26" t="s">
        <v>49</v>
      </c>
      <c r="F28" s="10">
        <f t="shared" si="0"/>
        <v>19</v>
      </c>
      <c r="G28" s="10">
        <f t="shared" si="1"/>
        <v>0</v>
      </c>
      <c r="H28" s="10">
        <f t="shared" si="2"/>
        <v>0</v>
      </c>
      <c r="I28" s="10">
        <f t="shared" si="3"/>
        <v>1</v>
      </c>
      <c r="J28" s="10">
        <f t="shared" si="4"/>
        <v>0</v>
      </c>
      <c r="K28" s="10">
        <f t="shared" si="5"/>
        <v>0</v>
      </c>
      <c r="L28" s="10">
        <f t="shared" si="6"/>
        <v>0</v>
      </c>
      <c r="M28" s="10">
        <f t="shared" si="7"/>
        <v>0</v>
      </c>
      <c r="O28" s="2" t="s">
        <v>2</v>
      </c>
      <c r="P28" s="2" t="s">
        <v>2</v>
      </c>
      <c r="Q28" s="2" t="s">
        <v>5</v>
      </c>
      <c r="R28" s="2"/>
      <c r="S28" s="2"/>
      <c r="T28" s="2"/>
      <c r="U28" s="2"/>
      <c r="V28" s="2" t="s">
        <v>2</v>
      </c>
      <c r="W28" s="2" t="s">
        <v>2</v>
      </c>
      <c r="X28" s="2" t="s">
        <v>2</v>
      </c>
      <c r="Y28" s="2" t="s">
        <v>2</v>
      </c>
      <c r="Z28" s="2" t="s">
        <v>2</v>
      </c>
      <c r="AA28" s="2"/>
      <c r="AB28" s="2"/>
      <c r="AC28" s="2" t="s">
        <v>2</v>
      </c>
      <c r="AD28" s="2" t="s">
        <v>2</v>
      </c>
      <c r="AE28" s="2" t="s">
        <v>2</v>
      </c>
      <c r="AF28" s="2" t="s">
        <v>2</v>
      </c>
      <c r="AG28" s="2" t="s">
        <v>2</v>
      </c>
      <c r="AH28" s="2"/>
      <c r="AI28" s="2"/>
      <c r="AJ28" s="2" t="s">
        <v>2</v>
      </c>
      <c r="AK28" s="2" t="s">
        <v>2</v>
      </c>
      <c r="AL28" s="2" t="s">
        <v>2</v>
      </c>
      <c r="AM28" s="2" t="s">
        <v>2</v>
      </c>
      <c r="AN28" s="2" t="s">
        <v>2</v>
      </c>
      <c r="AO28" s="2"/>
      <c r="AP28" s="2"/>
      <c r="AQ28" s="2" t="s">
        <v>2</v>
      </c>
      <c r="AR28" s="2" t="s">
        <v>2</v>
      </c>
    </row>
    <row r="29" spans="2:44" ht="14.25" hidden="1">
      <c r="B29" s="28" t="s">
        <v>65</v>
      </c>
      <c r="C29" s="22" t="s">
        <v>68</v>
      </c>
      <c r="D29" s="26" t="s">
        <v>44</v>
      </c>
      <c r="F29" s="10">
        <f t="shared" si="0"/>
        <v>19</v>
      </c>
      <c r="G29" s="10">
        <f t="shared" si="1"/>
        <v>0</v>
      </c>
      <c r="H29" s="10">
        <f t="shared" si="2"/>
        <v>0</v>
      </c>
      <c r="I29" s="10">
        <f t="shared" si="3"/>
        <v>1</v>
      </c>
      <c r="J29" s="10">
        <f t="shared" si="4"/>
        <v>0</v>
      </c>
      <c r="K29" s="10">
        <f t="shared" si="5"/>
        <v>0</v>
      </c>
      <c r="L29" s="10">
        <f t="shared" si="6"/>
        <v>0</v>
      </c>
      <c r="M29" s="10">
        <f t="shared" si="7"/>
        <v>0</v>
      </c>
      <c r="O29" s="2" t="s">
        <v>2</v>
      </c>
      <c r="P29" s="2" t="s">
        <v>5</v>
      </c>
      <c r="Q29" s="2" t="s">
        <v>2</v>
      </c>
      <c r="R29" s="2"/>
      <c r="S29" s="2"/>
      <c r="T29" s="2"/>
      <c r="U29" s="2"/>
      <c r="V29" s="2" t="s">
        <v>2</v>
      </c>
      <c r="W29" s="2" t="s">
        <v>2</v>
      </c>
      <c r="X29" s="2" t="s">
        <v>2</v>
      </c>
      <c r="Y29" s="2" t="s">
        <v>2</v>
      </c>
      <c r="Z29" s="2" t="s">
        <v>2</v>
      </c>
      <c r="AA29" s="2"/>
      <c r="AB29" s="2"/>
      <c r="AC29" s="2" t="s">
        <v>2</v>
      </c>
      <c r="AD29" s="2" t="s">
        <v>2</v>
      </c>
      <c r="AE29" s="2" t="s">
        <v>2</v>
      </c>
      <c r="AF29" s="2" t="s">
        <v>2</v>
      </c>
      <c r="AG29" s="2" t="s">
        <v>2</v>
      </c>
      <c r="AH29" s="2"/>
      <c r="AI29" s="2"/>
      <c r="AJ29" s="2" t="s">
        <v>2</v>
      </c>
      <c r="AK29" s="2" t="s">
        <v>2</v>
      </c>
      <c r="AL29" s="2" t="s">
        <v>2</v>
      </c>
      <c r="AM29" s="2" t="s">
        <v>2</v>
      </c>
      <c r="AN29" s="2" t="s">
        <v>2</v>
      </c>
      <c r="AO29" s="2"/>
      <c r="AP29" s="2"/>
      <c r="AQ29" s="2" t="s">
        <v>2</v>
      </c>
      <c r="AR29" s="2" t="s">
        <v>2</v>
      </c>
    </row>
    <row r="30" spans="2:44" ht="14.25" hidden="1">
      <c r="B30" s="28" t="s">
        <v>65</v>
      </c>
      <c r="C30" s="22" t="s">
        <v>69</v>
      </c>
      <c r="D30" s="26" t="s">
        <v>49</v>
      </c>
      <c r="F30" s="10">
        <f t="shared" si="0"/>
        <v>20</v>
      </c>
      <c r="G30" s="10">
        <f t="shared" si="1"/>
        <v>0</v>
      </c>
      <c r="H30" s="10">
        <f t="shared" si="2"/>
        <v>0</v>
      </c>
      <c r="I30" s="10">
        <f t="shared" si="3"/>
        <v>0</v>
      </c>
      <c r="J30" s="10">
        <f t="shared" si="4"/>
        <v>0</v>
      </c>
      <c r="K30" s="10">
        <f t="shared" si="5"/>
        <v>0</v>
      </c>
      <c r="L30" s="10">
        <f t="shared" si="6"/>
        <v>0</v>
      </c>
      <c r="M30" s="10">
        <f t="shared" si="7"/>
        <v>0</v>
      </c>
      <c r="O30" s="2" t="s">
        <v>2</v>
      </c>
      <c r="P30" s="2" t="s">
        <v>2</v>
      </c>
      <c r="Q30" s="2" t="s">
        <v>2</v>
      </c>
      <c r="R30" s="2"/>
      <c r="S30" s="2"/>
      <c r="T30" s="2"/>
      <c r="U30" s="2"/>
      <c r="V30" s="2" t="s">
        <v>2</v>
      </c>
      <c r="W30" s="2" t="s">
        <v>2</v>
      </c>
      <c r="X30" s="2" t="s">
        <v>2</v>
      </c>
      <c r="Y30" s="2" t="s">
        <v>2</v>
      </c>
      <c r="Z30" s="2" t="s">
        <v>2</v>
      </c>
      <c r="AA30" s="2"/>
      <c r="AB30" s="2"/>
      <c r="AC30" s="2" t="s">
        <v>2</v>
      </c>
      <c r="AD30" s="2" t="s">
        <v>2</v>
      </c>
      <c r="AE30" s="2" t="s">
        <v>2</v>
      </c>
      <c r="AF30" s="2" t="s">
        <v>2</v>
      </c>
      <c r="AG30" s="2" t="s">
        <v>2</v>
      </c>
      <c r="AH30" s="2"/>
      <c r="AI30" s="2"/>
      <c r="AJ30" s="2" t="s">
        <v>2</v>
      </c>
      <c r="AK30" s="2" t="s">
        <v>2</v>
      </c>
      <c r="AL30" s="2" t="s">
        <v>2</v>
      </c>
      <c r="AM30" s="2" t="s">
        <v>2</v>
      </c>
      <c r="AN30" s="2" t="s">
        <v>2</v>
      </c>
      <c r="AO30" s="2"/>
      <c r="AP30" s="2"/>
      <c r="AQ30" s="2" t="s">
        <v>2</v>
      </c>
      <c r="AR30" s="2" t="s">
        <v>2</v>
      </c>
    </row>
    <row r="31" spans="2:44" ht="14.25" hidden="1">
      <c r="B31" s="28" t="s">
        <v>65</v>
      </c>
      <c r="C31" s="22" t="s">
        <v>70</v>
      </c>
      <c r="D31" s="26" t="s">
        <v>40</v>
      </c>
      <c r="F31" s="10">
        <f t="shared" si="0"/>
        <v>20</v>
      </c>
      <c r="G31" s="10">
        <f t="shared" si="1"/>
        <v>0</v>
      </c>
      <c r="H31" s="10">
        <f t="shared" si="2"/>
        <v>0</v>
      </c>
      <c r="I31" s="10">
        <f t="shared" si="3"/>
        <v>0</v>
      </c>
      <c r="J31" s="10">
        <f t="shared" si="4"/>
        <v>0</v>
      </c>
      <c r="K31" s="10">
        <f t="shared" si="5"/>
        <v>0</v>
      </c>
      <c r="L31" s="10">
        <f t="shared" si="6"/>
        <v>0</v>
      </c>
      <c r="M31" s="10">
        <f t="shared" si="7"/>
        <v>0</v>
      </c>
      <c r="O31" s="2" t="s">
        <v>2</v>
      </c>
      <c r="P31" s="2" t="s">
        <v>2</v>
      </c>
      <c r="Q31" s="2" t="s">
        <v>2</v>
      </c>
      <c r="R31" s="2"/>
      <c r="S31" s="2"/>
      <c r="T31" s="2"/>
      <c r="U31" s="2"/>
      <c r="V31" s="2" t="s">
        <v>2</v>
      </c>
      <c r="W31" s="2" t="s">
        <v>2</v>
      </c>
      <c r="X31" s="2" t="s">
        <v>2</v>
      </c>
      <c r="Y31" s="2" t="s">
        <v>2</v>
      </c>
      <c r="Z31" s="2" t="s">
        <v>2</v>
      </c>
      <c r="AA31" s="2"/>
      <c r="AB31" s="2"/>
      <c r="AC31" s="2" t="s">
        <v>2</v>
      </c>
      <c r="AD31" s="2" t="s">
        <v>2</v>
      </c>
      <c r="AE31" s="2" t="s">
        <v>2</v>
      </c>
      <c r="AF31" s="2" t="s">
        <v>2</v>
      </c>
      <c r="AG31" s="2" t="s">
        <v>2</v>
      </c>
      <c r="AH31" s="2"/>
      <c r="AI31" s="2"/>
      <c r="AJ31" s="2" t="s">
        <v>2</v>
      </c>
      <c r="AK31" s="2" t="s">
        <v>2</v>
      </c>
      <c r="AL31" s="2" t="s">
        <v>2</v>
      </c>
      <c r="AM31" s="2" t="s">
        <v>2</v>
      </c>
      <c r="AN31" s="2" t="s">
        <v>2</v>
      </c>
      <c r="AO31" s="2"/>
      <c r="AP31" s="2"/>
      <c r="AQ31" s="2" t="s">
        <v>2</v>
      </c>
      <c r="AR31" s="2" t="s">
        <v>2</v>
      </c>
    </row>
    <row r="32" spans="2:44" ht="14.25" hidden="1">
      <c r="B32" s="28" t="s">
        <v>34</v>
      </c>
      <c r="C32" s="22" t="s">
        <v>71</v>
      </c>
      <c r="D32" s="26" t="s">
        <v>72</v>
      </c>
      <c r="F32" s="10">
        <f t="shared" si="0"/>
        <v>20</v>
      </c>
      <c r="G32" s="10">
        <f t="shared" si="1"/>
        <v>0</v>
      </c>
      <c r="H32" s="10">
        <f t="shared" si="2"/>
        <v>0</v>
      </c>
      <c r="I32" s="10">
        <f t="shared" si="3"/>
        <v>0</v>
      </c>
      <c r="J32" s="10">
        <f t="shared" si="4"/>
        <v>0</v>
      </c>
      <c r="K32" s="10">
        <f t="shared" si="5"/>
        <v>0</v>
      </c>
      <c r="L32" s="10">
        <f t="shared" si="6"/>
        <v>0</v>
      </c>
      <c r="M32" s="10">
        <f t="shared" si="7"/>
        <v>0</v>
      </c>
      <c r="O32" s="2" t="s">
        <v>2</v>
      </c>
      <c r="P32" s="2" t="s">
        <v>2</v>
      </c>
      <c r="Q32" s="2" t="s">
        <v>2</v>
      </c>
      <c r="R32" s="2"/>
      <c r="S32" s="2"/>
      <c r="T32" s="2"/>
      <c r="U32" s="2"/>
      <c r="V32" s="2" t="s">
        <v>2</v>
      </c>
      <c r="W32" s="2" t="s">
        <v>2</v>
      </c>
      <c r="X32" s="2" t="s">
        <v>2</v>
      </c>
      <c r="Y32" s="2" t="s">
        <v>2</v>
      </c>
      <c r="Z32" s="2" t="s">
        <v>2</v>
      </c>
      <c r="AA32" s="2"/>
      <c r="AB32" s="2"/>
      <c r="AC32" s="2" t="s">
        <v>2</v>
      </c>
      <c r="AD32" s="2" t="s">
        <v>2</v>
      </c>
      <c r="AE32" s="2" t="s">
        <v>2</v>
      </c>
      <c r="AF32" s="2" t="s">
        <v>2</v>
      </c>
      <c r="AG32" s="2" t="s">
        <v>2</v>
      </c>
      <c r="AH32" s="2"/>
      <c r="AI32" s="2"/>
      <c r="AJ32" s="2" t="s">
        <v>2</v>
      </c>
      <c r="AK32" s="2" t="s">
        <v>2</v>
      </c>
      <c r="AL32" s="2" t="s">
        <v>2</v>
      </c>
      <c r="AM32" s="2" t="s">
        <v>2</v>
      </c>
      <c r="AN32" s="2" t="s">
        <v>2</v>
      </c>
      <c r="AO32" s="2"/>
      <c r="AP32" s="2"/>
      <c r="AQ32" s="2" t="s">
        <v>2</v>
      </c>
      <c r="AR32" s="2" t="s">
        <v>2</v>
      </c>
    </row>
    <row r="33" spans="2:44" ht="14.25" hidden="1">
      <c r="B33" s="28" t="s">
        <v>65</v>
      </c>
      <c r="C33" s="22" t="s">
        <v>73</v>
      </c>
      <c r="D33" s="26" t="s">
        <v>49</v>
      </c>
      <c r="F33" s="10">
        <f t="shared" si="0"/>
        <v>18</v>
      </c>
      <c r="G33" s="10">
        <f t="shared" si="1"/>
        <v>0</v>
      </c>
      <c r="H33" s="10">
        <f t="shared" si="2"/>
        <v>1</v>
      </c>
      <c r="I33" s="10">
        <f t="shared" si="3"/>
        <v>1</v>
      </c>
      <c r="J33" s="10">
        <f t="shared" si="4"/>
        <v>0</v>
      </c>
      <c r="K33" s="10">
        <f t="shared" si="5"/>
        <v>0</v>
      </c>
      <c r="L33" s="10">
        <f t="shared" si="6"/>
        <v>0</v>
      </c>
      <c r="M33" s="10">
        <f t="shared" si="7"/>
        <v>0</v>
      </c>
      <c r="O33" s="2" t="s">
        <v>2</v>
      </c>
      <c r="P33" s="2" t="s">
        <v>2</v>
      </c>
      <c r="Q33" s="2" t="s">
        <v>2</v>
      </c>
      <c r="R33" s="2"/>
      <c r="S33" s="2"/>
      <c r="T33" s="2"/>
      <c r="U33" s="2"/>
      <c r="V33" s="2" t="s">
        <v>2</v>
      </c>
      <c r="W33" s="2" t="s">
        <v>2</v>
      </c>
      <c r="X33" s="2" t="s">
        <v>2</v>
      </c>
      <c r="Y33" s="2" t="s">
        <v>2</v>
      </c>
      <c r="Z33" s="2" t="s">
        <v>2</v>
      </c>
      <c r="AA33" s="2"/>
      <c r="AB33" s="2"/>
      <c r="AC33" s="2" t="s">
        <v>2</v>
      </c>
      <c r="AD33" s="2" t="s">
        <v>4</v>
      </c>
      <c r="AE33" s="2" t="s">
        <v>5</v>
      </c>
      <c r="AF33" s="2" t="s">
        <v>2</v>
      </c>
      <c r="AG33" s="2" t="s">
        <v>2</v>
      </c>
      <c r="AH33" s="2"/>
      <c r="AI33" s="2"/>
      <c r="AJ33" s="2" t="s">
        <v>2</v>
      </c>
      <c r="AK33" s="2" t="s">
        <v>2</v>
      </c>
      <c r="AL33" s="2" t="s">
        <v>2</v>
      </c>
      <c r="AM33" s="2" t="s">
        <v>2</v>
      </c>
      <c r="AN33" s="2" t="s">
        <v>2</v>
      </c>
      <c r="AO33" s="2"/>
      <c r="AP33" s="2"/>
      <c r="AQ33" s="2" t="s">
        <v>2</v>
      </c>
      <c r="AR33" s="2" t="s">
        <v>2</v>
      </c>
    </row>
    <row r="34" spans="2:44" ht="14.25" hidden="1">
      <c r="B34" s="28" t="s">
        <v>65</v>
      </c>
      <c r="C34" s="22" t="s">
        <v>74</v>
      </c>
      <c r="D34" s="26" t="s">
        <v>40</v>
      </c>
      <c r="F34" s="10">
        <f t="shared" si="0"/>
        <v>18</v>
      </c>
      <c r="G34" s="10">
        <f t="shared" si="1"/>
        <v>0</v>
      </c>
      <c r="H34" s="10">
        <f t="shared" si="2"/>
        <v>0</v>
      </c>
      <c r="I34" s="10">
        <f t="shared" si="3"/>
        <v>2</v>
      </c>
      <c r="J34" s="10">
        <f t="shared" si="4"/>
        <v>0</v>
      </c>
      <c r="K34" s="10">
        <f t="shared" si="5"/>
        <v>0</v>
      </c>
      <c r="L34" s="10">
        <f t="shared" si="6"/>
        <v>0</v>
      </c>
      <c r="M34" s="10">
        <f t="shared" si="7"/>
        <v>0</v>
      </c>
      <c r="O34" s="2" t="s">
        <v>2</v>
      </c>
      <c r="P34" s="2" t="s">
        <v>2</v>
      </c>
      <c r="Q34" s="2" t="s">
        <v>2</v>
      </c>
      <c r="R34" s="2"/>
      <c r="S34" s="2"/>
      <c r="T34" s="2"/>
      <c r="U34" s="2"/>
      <c r="V34" s="2" t="s">
        <v>2</v>
      </c>
      <c r="W34" s="2" t="s">
        <v>2</v>
      </c>
      <c r="X34" s="2" t="s">
        <v>2</v>
      </c>
      <c r="Y34" s="2" t="s">
        <v>2</v>
      </c>
      <c r="Z34" s="2" t="s">
        <v>2</v>
      </c>
      <c r="AA34" s="2"/>
      <c r="AB34" s="2"/>
      <c r="AC34" s="2" t="s">
        <v>2</v>
      </c>
      <c r="AD34" s="2" t="s">
        <v>2</v>
      </c>
      <c r="AE34" s="2" t="s">
        <v>2</v>
      </c>
      <c r="AF34" s="2" t="s">
        <v>5</v>
      </c>
      <c r="AG34" s="2" t="s">
        <v>5</v>
      </c>
      <c r="AH34" s="2"/>
      <c r="AI34" s="2"/>
      <c r="AJ34" s="2" t="s">
        <v>2</v>
      </c>
      <c r="AK34" s="2" t="s">
        <v>2</v>
      </c>
      <c r="AL34" s="2" t="s">
        <v>2</v>
      </c>
      <c r="AM34" s="2" t="s">
        <v>2</v>
      </c>
      <c r="AN34" s="2" t="s">
        <v>2</v>
      </c>
      <c r="AO34" s="2"/>
      <c r="AP34" s="2"/>
      <c r="AQ34" s="2" t="s">
        <v>2</v>
      </c>
      <c r="AR34" s="2" t="s">
        <v>2</v>
      </c>
    </row>
    <row r="35" spans="2:44" ht="14.25" hidden="1">
      <c r="B35" s="28" t="s">
        <v>65</v>
      </c>
      <c r="C35" s="22" t="s">
        <v>75</v>
      </c>
      <c r="D35" s="26" t="s">
        <v>36</v>
      </c>
      <c r="F35" s="24">
        <f t="shared" si="0"/>
        <v>20</v>
      </c>
      <c r="G35" s="24">
        <f t="shared" si="1"/>
        <v>0</v>
      </c>
      <c r="H35" s="24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4">
        <f t="shared" si="6"/>
        <v>0</v>
      </c>
      <c r="M35" s="24">
        <f t="shared" si="7"/>
        <v>0</v>
      </c>
      <c r="O35" s="2" t="s">
        <v>2</v>
      </c>
      <c r="P35" s="2" t="s">
        <v>2</v>
      </c>
      <c r="Q35" s="2" t="s">
        <v>2</v>
      </c>
      <c r="R35" s="2"/>
      <c r="S35" s="2"/>
      <c r="T35" s="2"/>
      <c r="U35" s="2"/>
      <c r="V35" s="2" t="s">
        <v>2</v>
      </c>
      <c r="W35" s="2" t="s">
        <v>2</v>
      </c>
      <c r="X35" s="2" t="s">
        <v>2</v>
      </c>
      <c r="Y35" s="51" t="s">
        <v>2</v>
      </c>
      <c r="Z35" s="51" t="s">
        <v>2</v>
      </c>
      <c r="AA35" s="51"/>
      <c r="AB35" s="51"/>
      <c r="AC35" s="51" t="s">
        <v>2</v>
      </c>
      <c r="AD35" s="51" t="s">
        <v>2</v>
      </c>
      <c r="AE35" s="51" t="s">
        <v>2</v>
      </c>
      <c r="AF35" s="51" t="s">
        <v>2</v>
      </c>
      <c r="AG35" s="51" t="s">
        <v>2</v>
      </c>
      <c r="AH35" s="51"/>
      <c r="AI35" s="51"/>
      <c r="AJ35" s="51" t="s">
        <v>2</v>
      </c>
      <c r="AK35" s="51" t="s">
        <v>2</v>
      </c>
      <c r="AL35" s="51" t="s">
        <v>2</v>
      </c>
      <c r="AM35" s="51" t="s">
        <v>2</v>
      </c>
      <c r="AN35" s="51" t="s">
        <v>2</v>
      </c>
      <c r="AO35" s="51"/>
      <c r="AP35" s="51"/>
      <c r="AQ35" s="51" t="s">
        <v>2</v>
      </c>
      <c r="AR35" s="51" t="s">
        <v>2</v>
      </c>
    </row>
    <row r="36" spans="2:44" ht="14.25" hidden="1">
      <c r="B36" s="28" t="s">
        <v>65</v>
      </c>
      <c r="C36" s="22" t="s">
        <v>76</v>
      </c>
      <c r="D36" s="26" t="s">
        <v>36</v>
      </c>
      <c r="F36" s="10">
        <f t="shared" ref="F36:F102" si="8">COUNTIF(O36:AR36,$F$5)</f>
        <v>20</v>
      </c>
      <c r="G36" s="10">
        <f t="shared" ref="G36:G102" si="9">COUNTIF(O36:AR36,$G$5)</f>
        <v>0</v>
      </c>
      <c r="H36" s="10">
        <f t="shared" ref="H36:H102" si="10">COUNTIF(O36:AR36,$H$5)</f>
        <v>0</v>
      </c>
      <c r="I36" s="10">
        <f t="shared" ref="I36:I102" si="11">COUNTIF(O36:AR36,$I$5)</f>
        <v>0</v>
      </c>
      <c r="J36" s="10">
        <f t="shared" ref="J36:J102" si="12">COUNTIF(O36:AR36,$J$5)</f>
        <v>0</v>
      </c>
      <c r="K36" s="10">
        <f t="shared" ref="K36:K102" si="13">COUNTIF(O36:AR36,$K$5)</f>
        <v>0</v>
      </c>
      <c r="L36" s="10">
        <f t="shared" ref="L36:L102" si="14">COUNTIF(O36:AR36,$L$5)</f>
        <v>0</v>
      </c>
      <c r="M36" s="10">
        <f t="shared" ref="M36:M102" si="15">COUNTIF(O36:AR36,$M$5)</f>
        <v>0</v>
      </c>
      <c r="O36" s="2" t="s">
        <v>2</v>
      </c>
      <c r="P36" s="2" t="s">
        <v>2</v>
      </c>
      <c r="Q36" s="2" t="s">
        <v>2</v>
      </c>
      <c r="R36" s="2"/>
      <c r="S36" s="2"/>
      <c r="T36" s="2"/>
      <c r="U36" s="2"/>
      <c r="V36" s="2" t="s">
        <v>2</v>
      </c>
      <c r="W36" s="2" t="s">
        <v>2</v>
      </c>
      <c r="X36" s="2" t="s">
        <v>2</v>
      </c>
      <c r="Y36" s="2" t="s">
        <v>2</v>
      </c>
      <c r="Z36" s="2" t="s">
        <v>2</v>
      </c>
      <c r="AA36" s="2"/>
      <c r="AB36" s="2"/>
      <c r="AC36" s="2" t="s">
        <v>2</v>
      </c>
      <c r="AD36" s="2" t="s">
        <v>2</v>
      </c>
      <c r="AE36" s="2" t="s">
        <v>2</v>
      </c>
      <c r="AF36" s="2" t="s">
        <v>2</v>
      </c>
      <c r="AG36" s="2" t="s">
        <v>2</v>
      </c>
      <c r="AH36" s="2"/>
      <c r="AI36" s="2"/>
      <c r="AJ36" s="2" t="s">
        <v>2</v>
      </c>
      <c r="AK36" s="2" t="s">
        <v>2</v>
      </c>
      <c r="AL36" s="2" t="s">
        <v>2</v>
      </c>
      <c r="AM36" s="2" t="s">
        <v>2</v>
      </c>
      <c r="AN36" s="2" t="s">
        <v>2</v>
      </c>
      <c r="AO36" s="2"/>
      <c r="AP36" s="2"/>
      <c r="AQ36" s="2" t="s">
        <v>2</v>
      </c>
      <c r="AR36" s="2" t="s">
        <v>2</v>
      </c>
    </row>
    <row r="37" spans="2:44" ht="14.25" hidden="1">
      <c r="B37" s="28" t="s">
        <v>65</v>
      </c>
      <c r="C37" s="22" t="s">
        <v>77</v>
      </c>
      <c r="D37" s="26" t="s">
        <v>63</v>
      </c>
      <c r="F37" s="10">
        <f t="shared" si="8"/>
        <v>20</v>
      </c>
      <c r="G37" s="10">
        <f t="shared" si="9"/>
        <v>0</v>
      </c>
      <c r="H37" s="10">
        <f t="shared" si="10"/>
        <v>0</v>
      </c>
      <c r="I37" s="10">
        <f t="shared" si="11"/>
        <v>0</v>
      </c>
      <c r="J37" s="10">
        <f t="shared" si="12"/>
        <v>0</v>
      </c>
      <c r="K37" s="10">
        <f t="shared" si="13"/>
        <v>0</v>
      </c>
      <c r="L37" s="10">
        <f t="shared" si="14"/>
        <v>0</v>
      </c>
      <c r="M37" s="10">
        <f t="shared" si="15"/>
        <v>0</v>
      </c>
      <c r="O37" s="2" t="s">
        <v>2</v>
      </c>
      <c r="P37" s="2" t="s">
        <v>2</v>
      </c>
      <c r="Q37" s="2" t="s">
        <v>2</v>
      </c>
      <c r="R37" s="2"/>
      <c r="S37" s="2"/>
      <c r="T37" s="2"/>
      <c r="U37" s="2"/>
      <c r="V37" s="2" t="s">
        <v>2</v>
      </c>
      <c r="W37" s="2" t="s">
        <v>2</v>
      </c>
      <c r="X37" s="2" t="s">
        <v>2</v>
      </c>
      <c r="Y37" s="2" t="s">
        <v>2</v>
      </c>
      <c r="Z37" s="2" t="s">
        <v>2</v>
      </c>
      <c r="AA37" s="2"/>
      <c r="AB37" s="2"/>
      <c r="AC37" s="2" t="s">
        <v>2</v>
      </c>
      <c r="AD37" s="2" t="s">
        <v>2</v>
      </c>
      <c r="AE37" s="2" t="s">
        <v>2</v>
      </c>
      <c r="AF37" s="2" t="s">
        <v>2</v>
      </c>
      <c r="AG37" s="2" t="s">
        <v>2</v>
      </c>
      <c r="AH37" s="2"/>
      <c r="AI37" s="2"/>
      <c r="AJ37" s="2" t="s">
        <v>2</v>
      </c>
      <c r="AK37" s="2" t="s">
        <v>2</v>
      </c>
      <c r="AL37" s="2" t="s">
        <v>2</v>
      </c>
      <c r="AM37" s="2" t="s">
        <v>2</v>
      </c>
      <c r="AN37" s="2" t="s">
        <v>2</v>
      </c>
      <c r="AO37" s="2"/>
      <c r="AP37" s="2"/>
      <c r="AQ37" s="2" t="s">
        <v>2</v>
      </c>
      <c r="AR37" s="2" t="s">
        <v>2</v>
      </c>
    </row>
    <row r="38" spans="2:44" ht="14.25" hidden="1">
      <c r="B38" s="28" t="s">
        <v>65</v>
      </c>
      <c r="C38" s="22" t="s">
        <v>78</v>
      </c>
      <c r="D38" s="26" t="s">
        <v>36</v>
      </c>
      <c r="F38" s="10">
        <f t="shared" si="8"/>
        <v>20</v>
      </c>
      <c r="G38" s="10">
        <f t="shared" si="9"/>
        <v>0</v>
      </c>
      <c r="H38" s="10">
        <f t="shared" si="10"/>
        <v>0</v>
      </c>
      <c r="I38" s="10">
        <f t="shared" si="11"/>
        <v>0</v>
      </c>
      <c r="J38" s="10">
        <f t="shared" si="12"/>
        <v>0</v>
      </c>
      <c r="K38" s="10">
        <f t="shared" si="13"/>
        <v>0</v>
      </c>
      <c r="L38" s="10">
        <f t="shared" si="14"/>
        <v>0</v>
      </c>
      <c r="M38" s="10">
        <f t="shared" si="15"/>
        <v>0</v>
      </c>
      <c r="O38" s="2" t="s">
        <v>2</v>
      </c>
      <c r="P38" s="2" t="s">
        <v>2</v>
      </c>
      <c r="Q38" s="2" t="s">
        <v>2</v>
      </c>
      <c r="R38" s="2"/>
      <c r="S38" s="2"/>
      <c r="T38" s="2"/>
      <c r="U38" s="2"/>
      <c r="V38" s="2" t="s">
        <v>2</v>
      </c>
      <c r="W38" s="2" t="s">
        <v>2</v>
      </c>
      <c r="X38" s="2" t="s">
        <v>2</v>
      </c>
      <c r="Y38" s="2" t="s">
        <v>2</v>
      </c>
      <c r="Z38" s="2" t="s">
        <v>2</v>
      </c>
      <c r="AA38" s="2"/>
      <c r="AB38" s="2"/>
      <c r="AC38" s="2" t="s">
        <v>2</v>
      </c>
      <c r="AD38" s="2" t="s">
        <v>2</v>
      </c>
      <c r="AE38" s="2" t="s">
        <v>2</v>
      </c>
      <c r="AF38" s="2" t="s">
        <v>2</v>
      </c>
      <c r="AG38" s="2" t="s">
        <v>2</v>
      </c>
      <c r="AH38" s="2"/>
      <c r="AI38" s="2"/>
      <c r="AJ38" s="2" t="s">
        <v>2</v>
      </c>
      <c r="AK38" s="2" t="s">
        <v>2</v>
      </c>
      <c r="AL38" s="2" t="s">
        <v>2</v>
      </c>
      <c r="AM38" s="2" t="s">
        <v>2</v>
      </c>
      <c r="AN38" s="2" t="s">
        <v>2</v>
      </c>
      <c r="AO38" s="2"/>
      <c r="AP38" s="2"/>
      <c r="AQ38" s="2" t="s">
        <v>2</v>
      </c>
      <c r="AR38" s="2" t="s">
        <v>2</v>
      </c>
    </row>
    <row r="39" spans="2:44" ht="14.25" hidden="1">
      <c r="B39" s="28" t="s">
        <v>65</v>
      </c>
      <c r="C39" s="22" t="s">
        <v>79</v>
      </c>
      <c r="D39" s="26" t="s">
        <v>49</v>
      </c>
      <c r="F39" s="10">
        <f t="shared" si="8"/>
        <v>20</v>
      </c>
      <c r="G39" s="10">
        <f t="shared" si="9"/>
        <v>0</v>
      </c>
      <c r="H39" s="10">
        <f t="shared" si="10"/>
        <v>0</v>
      </c>
      <c r="I39" s="10">
        <f t="shared" si="11"/>
        <v>0</v>
      </c>
      <c r="J39" s="10">
        <f t="shared" si="12"/>
        <v>0</v>
      </c>
      <c r="K39" s="10">
        <f t="shared" si="13"/>
        <v>0</v>
      </c>
      <c r="L39" s="10">
        <f t="shared" si="14"/>
        <v>0</v>
      </c>
      <c r="M39" s="10">
        <f t="shared" si="15"/>
        <v>0</v>
      </c>
      <c r="O39" s="2" t="s">
        <v>2</v>
      </c>
      <c r="P39" s="2" t="s">
        <v>2</v>
      </c>
      <c r="Q39" s="2" t="s">
        <v>2</v>
      </c>
      <c r="R39" s="2"/>
      <c r="S39" s="2"/>
      <c r="T39" s="2"/>
      <c r="U39" s="2"/>
      <c r="V39" s="2" t="s">
        <v>2</v>
      </c>
      <c r="W39" s="2" t="s">
        <v>2</v>
      </c>
      <c r="X39" s="2" t="s">
        <v>2</v>
      </c>
      <c r="Y39" s="2" t="s">
        <v>2</v>
      </c>
      <c r="Z39" s="2" t="s">
        <v>2</v>
      </c>
      <c r="AA39" s="2"/>
      <c r="AB39" s="2"/>
      <c r="AC39" s="2" t="s">
        <v>2</v>
      </c>
      <c r="AD39" s="2" t="s">
        <v>2</v>
      </c>
      <c r="AE39" s="2" t="s">
        <v>2</v>
      </c>
      <c r="AF39" s="2" t="s">
        <v>2</v>
      </c>
      <c r="AG39" s="2" t="s">
        <v>2</v>
      </c>
      <c r="AH39" s="2"/>
      <c r="AI39" s="2"/>
      <c r="AJ39" s="2" t="s">
        <v>2</v>
      </c>
      <c r="AK39" s="2" t="s">
        <v>2</v>
      </c>
      <c r="AL39" s="2" t="s">
        <v>2</v>
      </c>
      <c r="AM39" s="2" t="s">
        <v>2</v>
      </c>
      <c r="AN39" s="2" t="s">
        <v>2</v>
      </c>
      <c r="AO39" s="2"/>
      <c r="AP39" s="2"/>
      <c r="AQ39" s="2" t="s">
        <v>2</v>
      </c>
      <c r="AR39" s="2" t="s">
        <v>2</v>
      </c>
    </row>
    <row r="40" spans="2:44" ht="14.25" hidden="1">
      <c r="B40" s="28" t="s">
        <v>65</v>
      </c>
      <c r="C40" s="22" t="s">
        <v>80</v>
      </c>
      <c r="D40" s="26" t="s">
        <v>49</v>
      </c>
      <c r="F40" s="10">
        <f t="shared" si="8"/>
        <v>20</v>
      </c>
      <c r="G40" s="10">
        <f t="shared" si="9"/>
        <v>0</v>
      </c>
      <c r="H40" s="10">
        <f t="shared" si="10"/>
        <v>0</v>
      </c>
      <c r="I40" s="10">
        <f t="shared" si="11"/>
        <v>0</v>
      </c>
      <c r="J40" s="10">
        <f t="shared" si="12"/>
        <v>0</v>
      </c>
      <c r="K40" s="10">
        <f t="shared" si="13"/>
        <v>0</v>
      </c>
      <c r="L40" s="10">
        <f t="shared" si="14"/>
        <v>0</v>
      </c>
      <c r="M40" s="10">
        <f t="shared" si="15"/>
        <v>0</v>
      </c>
      <c r="O40" s="2" t="s">
        <v>2</v>
      </c>
      <c r="P40" s="2" t="s">
        <v>2</v>
      </c>
      <c r="Q40" s="2" t="s">
        <v>2</v>
      </c>
      <c r="R40" s="2"/>
      <c r="S40" s="2"/>
      <c r="T40" s="2"/>
      <c r="U40" s="2"/>
      <c r="V40" s="2" t="s">
        <v>2</v>
      </c>
      <c r="W40" s="2" t="s">
        <v>2</v>
      </c>
      <c r="X40" s="2" t="s">
        <v>2</v>
      </c>
      <c r="Y40" s="2" t="s">
        <v>2</v>
      </c>
      <c r="Z40" s="2" t="s">
        <v>2</v>
      </c>
      <c r="AA40" s="2"/>
      <c r="AB40" s="2"/>
      <c r="AC40" s="2" t="s">
        <v>2</v>
      </c>
      <c r="AD40" s="2" t="s">
        <v>2</v>
      </c>
      <c r="AE40" s="2" t="s">
        <v>2</v>
      </c>
      <c r="AF40" s="2" t="s">
        <v>2</v>
      </c>
      <c r="AG40" s="2" t="s">
        <v>2</v>
      </c>
      <c r="AH40" s="2"/>
      <c r="AI40" s="2"/>
      <c r="AJ40" s="2" t="s">
        <v>2</v>
      </c>
      <c r="AK40" s="2" t="s">
        <v>2</v>
      </c>
      <c r="AL40" s="2" t="s">
        <v>2</v>
      </c>
      <c r="AM40" s="2" t="s">
        <v>2</v>
      </c>
      <c r="AN40" s="2" t="s">
        <v>2</v>
      </c>
      <c r="AO40" s="2"/>
      <c r="AP40" s="2"/>
      <c r="AQ40" s="2" t="s">
        <v>2</v>
      </c>
      <c r="AR40" s="2" t="s">
        <v>2</v>
      </c>
    </row>
    <row r="41" spans="2:44" ht="14.25" hidden="1">
      <c r="B41" s="28" t="s">
        <v>65</v>
      </c>
      <c r="C41" s="22" t="s">
        <v>81</v>
      </c>
      <c r="D41" s="26" t="s">
        <v>36</v>
      </c>
      <c r="F41" s="10">
        <f t="shared" si="8"/>
        <v>17</v>
      </c>
      <c r="G41" s="10">
        <f t="shared" si="9"/>
        <v>0</v>
      </c>
      <c r="H41" s="10">
        <f t="shared" si="10"/>
        <v>0</v>
      </c>
      <c r="I41" s="10">
        <f t="shared" si="11"/>
        <v>3</v>
      </c>
      <c r="J41" s="10">
        <f t="shared" si="12"/>
        <v>0</v>
      </c>
      <c r="K41" s="10">
        <f t="shared" si="13"/>
        <v>0</v>
      </c>
      <c r="L41" s="10">
        <f t="shared" si="14"/>
        <v>0</v>
      </c>
      <c r="M41" s="10">
        <f t="shared" si="15"/>
        <v>0</v>
      </c>
      <c r="O41" s="2" t="s">
        <v>2</v>
      </c>
      <c r="P41" s="2" t="s">
        <v>2</v>
      </c>
      <c r="Q41" s="2" t="s">
        <v>5</v>
      </c>
      <c r="R41" s="2"/>
      <c r="S41" s="2"/>
      <c r="T41" s="2"/>
      <c r="U41" s="2"/>
      <c r="V41" s="2" t="s">
        <v>5</v>
      </c>
      <c r="W41" s="2" t="s">
        <v>5</v>
      </c>
      <c r="X41" s="2" t="s">
        <v>2</v>
      </c>
      <c r="Y41" s="2" t="s">
        <v>2</v>
      </c>
      <c r="Z41" s="2" t="s">
        <v>2</v>
      </c>
      <c r="AA41" s="2"/>
      <c r="AB41" s="2"/>
      <c r="AC41" s="2" t="s">
        <v>2</v>
      </c>
      <c r="AD41" s="2" t="s">
        <v>2</v>
      </c>
      <c r="AE41" s="2" t="s">
        <v>2</v>
      </c>
      <c r="AF41" s="2" t="s">
        <v>2</v>
      </c>
      <c r="AG41" s="2" t="s">
        <v>2</v>
      </c>
      <c r="AH41" s="2"/>
      <c r="AI41" s="2"/>
      <c r="AJ41" s="2" t="s">
        <v>2</v>
      </c>
      <c r="AK41" s="2" t="s">
        <v>2</v>
      </c>
      <c r="AL41" s="2" t="s">
        <v>2</v>
      </c>
      <c r="AM41" s="2" t="s">
        <v>2</v>
      </c>
      <c r="AN41" s="2" t="s">
        <v>2</v>
      </c>
      <c r="AO41" s="2"/>
      <c r="AP41" s="2"/>
      <c r="AQ41" s="2" t="s">
        <v>2</v>
      </c>
      <c r="AR41" s="2" t="s">
        <v>2</v>
      </c>
    </row>
    <row r="42" spans="2:44" ht="14.25" hidden="1">
      <c r="B42" s="28" t="s">
        <v>65</v>
      </c>
      <c r="C42" s="22" t="s">
        <v>82</v>
      </c>
      <c r="D42" s="26" t="s">
        <v>72</v>
      </c>
      <c r="F42" s="10">
        <f t="shared" si="8"/>
        <v>20</v>
      </c>
      <c r="G42" s="10">
        <f t="shared" si="9"/>
        <v>0</v>
      </c>
      <c r="H42" s="10">
        <f t="shared" si="10"/>
        <v>0</v>
      </c>
      <c r="I42" s="10">
        <f t="shared" si="11"/>
        <v>0</v>
      </c>
      <c r="J42" s="10">
        <f t="shared" si="12"/>
        <v>0</v>
      </c>
      <c r="K42" s="10">
        <f t="shared" si="13"/>
        <v>0</v>
      </c>
      <c r="L42" s="10">
        <f t="shared" si="14"/>
        <v>0</v>
      </c>
      <c r="M42" s="10">
        <f t="shared" si="15"/>
        <v>0</v>
      </c>
      <c r="O42" s="2" t="s">
        <v>2</v>
      </c>
      <c r="P42" s="2" t="s">
        <v>2</v>
      </c>
      <c r="Q42" s="2" t="s">
        <v>2</v>
      </c>
      <c r="R42" s="2"/>
      <c r="S42" s="2"/>
      <c r="T42" s="2"/>
      <c r="U42" s="2"/>
      <c r="V42" s="2" t="s">
        <v>2</v>
      </c>
      <c r="W42" s="2" t="s">
        <v>2</v>
      </c>
      <c r="X42" s="2" t="s">
        <v>2</v>
      </c>
      <c r="Y42" s="2" t="s">
        <v>2</v>
      </c>
      <c r="Z42" s="2" t="s">
        <v>2</v>
      </c>
      <c r="AA42" s="2"/>
      <c r="AB42" s="2"/>
      <c r="AC42" s="2" t="s">
        <v>2</v>
      </c>
      <c r="AD42" s="2" t="s">
        <v>2</v>
      </c>
      <c r="AE42" s="2" t="s">
        <v>2</v>
      </c>
      <c r="AF42" s="2" t="s">
        <v>2</v>
      </c>
      <c r="AG42" s="2" t="s">
        <v>2</v>
      </c>
      <c r="AH42" s="2"/>
      <c r="AI42" s="2"/>
      <c r="AJ42" s="2" t="s">
        <v>2</v>
      </c>
      <c r="AK42" s="2" t="s">
        <v>2</v>
      </c>
      <c r="AL42" s="2" t="s">
        <v>2</v>
      </c>
      <c r="AM42" s="2" t="s">
        <v>2</v>
      </c>
      <c r="AN42" s="2" t="s">
        <v>2</v>
      </c>
      <c r="AO42" s="2"/>
      <c r="AP42" s="2"/>
      <c r="AQ42" s="2" t="s">
        <v>2</v>
      </c>
      <c r="AR42" s="2" t="s">
        <v>2</v>
      </c>
    </row>
    <row r="43" spans="2:44" ht="14.25" hidden="1">
      <c r="B43" s="28" t="s">
        <v>65</v>
      </c>
      <c r="C43" s="22" t="s">
        <v>83</v>
      </c>
      <c r="D43" s="26" t="s">
        <v>84</v>
      </c>
      <c r="F43" s="10">
        <f t="shared" si="8"/>
        <v>20</v>
      </c>
      <c r="G43" s="10">
        <f t="shared" si="9"/>
        <v>0</v>
      </c>
      <c r="H43" s="10">
        <f t="shared" si="10"/>
        <v>0</v>
      </c>
      <c r="I43" s="10">
        <f t="shared" si="11"/>
        <v>0</v>
      </c>
      <c r="J43" s="10">
        <f t="shared" si="12"/>
        <v>0</v>
      </c>
      <c r="K43" s="10">
        <f t="shared" si="13"/>
        <v>0</v>
      </c>
      <c r="L43" s="10">
        <f t="shared" si="14"/>
        <v>0</v>
      </c>
      <c r="M43" s="10">
        <f t="shared" si="15"/>
        <v>0</v>
      </c>
      <c r="O43" s="2" t="s">
        <v>2</v>
      </c>
      <c r="P43" s="2" t="s">
        <v>2</v>
      </c>
      <c r="Q43" s="2" t="s">
        <v>2</v>
      </c>
      <c r="R43" s="2"/>
      <c r="S43" s="2"/>
      <c r="T43" s="2"/>
      <c r="U43" s="2"/>
      <c r="V43" s="2" t="s">
        <v>2</v>
      </c>
      <c r="W43" s="2" t="s">
        <v>2</v>
      </c>
      <c r="X43" s="2" t="s">
        <v>2</v>
      </c>
      <c r="Y43" s="2" t="s">
        <v>2</v>
      </c>
      <c r="Z43" s="2" t="s">
        <v>2</v>
      </c>
      <c r="AA43" s="2"/>
      <c r="AB43" s="2"/>
      <c r="AC43" s="2" t="s">
        <v>2</v>
      </c>
      <c r="AD43" s="2" t="s">
        <v>2</v>
      </c>
      <c r="AE43" s="2" t="s">
        <v>2</v>
      </c>
      <c r="AF43" s="2" t="s">
        <v>2</v>
      </c>
      <c r="AG43" s="2" t="s">
        <v>2</v>
      </c>
      <c r="AH43" s="2"/>
      <c r="AI43" s="2"/>
      <c r="AJ43" s="2" t="s">
        <v>2</v>
      </c>
      <c r="AK43" s="2" t="s">
        <v>2</v>
      </c>
      <c r="AL43" s="2" t="s">
        <v>2</v>
      </c>
      <c r="AM43" s="2" t="s">
        <v>2</v>
      </c>
      <c r="AN43" s="2" t="s">
        <v>2</v>
      </c>
      <c r="AO43" s="2"/>
      <c r="AP43" s="2"/>
      <c r="AQ43" s="2" t="s">
        <v>2</v>
      </c>
      <c r="AR43" s="2" t="s">
        <v>2</v>
      </c>
    </row>
    <row r="44" spans="2:44" ht="14.25" hidden="1">
      <c r="B44" s="28" t="s">
        <v>65</v>
      </c>
      <c r="C44" s="22" t="s">
        <v>85</v>
      </c>
      <c r="D44" s="26" t="s">
        <v>40</v>
      </c>
      <c r="F44" s="10">
        <f t="shared" si="8"/>
        <v>20</v>
      </c>
      <c r="G44" s="10">
        <f t="shared" si="9"/>
        <v>0</v>
      </c>
      <c r="H44" s="10">
        <f t="shared" si="10"/>
        <v>0</v>
      </c>
      <c r="I44" s="10">
        <f t="shared" si="11"/>
        <v>0</v>
      </c>
      <c r="J44" s="10">
        <f t="shared" si="12"/>
        <v>0</v>
      </c>
      <c r="K44" s="10">
        <f t="shared" si="13"/>
        <v>0</v>
      </c>
      <c r="L44" s="10">
        <f t="shared" si="14"/>
        <v>0</v>
      </c>
      <c r="M44" s="10">
        <f t="shared" si="15"/>
        <v>0</v>
      </c>
      <c r="O44" s="2" t="s">
        <v>2</v>
      </c>
      <c r="P44" s="2" t="s">
        <v>2</v>
      </c>
      <c r="Q44" s="2" t="s">
        <v>2</v>
      </c>
      <c r="R44" s="2"/>
      <c r="S44" s="2"/>
      <c r="T44" s="2"/>
      <c r="U44" s="2"/>
      <c r="V44" s="2" t="s">
        <v>2</v>
      </c>
      <c r="W44" s="2" t="s">
        <v>2</v>
      </c>
      <c r="X44" s="2" t="s">
        <v>2</v>
      </c>
      <c r="Y44" s="2" t="s">
        <v>2</v>
      </c>
      <c r="Z44" s="2" t="s">
        <v>2</v>
      </c>
      <c r="AA44" s="2"/>
      <c r="AB44" s="2"/>
      <c r="AC44" s="2" t="s">
        <v>2</v>
      </c>
      <c r="AD44" s="2" t="s">
        <v>2</v>
      </c>
      <c r="AE44" s="2" t="s">
        <v>2</v>
      </c>
      <c r="AF44" s="2" t="s">
        <v>2</v>
      </c>
      <c r="AG44" s="2" t="s">
        <v>2</v>
      </c>
      <c r="AH44" s="2"/>
      <c r="AI44" s="2"/>
      <c r="AJ44" s="2" t="s">
        <v>2</v>
      </c>
      <c r="AK44" s="2" t="s">
        <v>2</v>
      </c>
      <c r="AL44" s="2" t="s">
        <v>2</v>
      </c>
      <c r="AM44" s="2" t="s">
        <v>2</v>
      </c>
      <c r="AN44" s="2" t="s">
        <v>2</v>
      </c>
      <c r="AO44" s="2"/>
      <c r="AP44" s="2"/>
      <c r="AQ44" s="2" t="s">
        <v>2</v>
      </c>
      <c r="AR44" s="2" t="s">
        <v>2</v>
      </c>
    </row>
    <row r="45" spans="2:44" ht="14.25" hidden="1">
      <c r="B45" s="28" t="s">
        <v>65</v>
      </c>
      <c r="C45" s="22" t="s">
        <v>86</v>
      </c>
      <c r="D45" s="26" t="s">
        <v>56</v>
      </c>
      <c r="F45" s="10">
        <f t="shared" si="8"/>
        <v>20</v>
      </c>
      <c r="G45" s="10">
        <f t="shared" si="9"/>
        <v>0</v>
      </c>
      <c r="H45" s="10">
        <f t="shared" si="10"/>
        <v>0</v>
      </c>
      <c r="I45" s="10">
        <f t="shared" si="11"/>
        <v>0</v>
      </c>
      <c r="J45" s="10">
        <f t="shared" si="12"/>
        <v>0</v>
      </c>
      <c r="K45" s="10">
        <f t="shared" si="13"/>
        <v>0</v>
      </c>
      <c r="L45" s="10">
        <f t="shared" si="14"/>
        <v>0</v>
      </c>
      <c r="M45" s="10">
        <f t="shared" si="15"/>
        <v>0</v>
      </c>
      <c r="O45" s="2" t="s">
        <v>2</v>
      </c>
      <c r="P45" s="2" t="s">
        <v>2</v>
      </c>
      <c r="Q45" s="2" t="s">
        <v>2</v>
      </c>
      <c r="R45" s="2"/>
      <c r="S45" s="2"/>
      <c r="T45" s="2"/>
      <c r="U45" s="2"/>
      <c r="V45" s="2" t="s">
        <v>2</v>
      </c>
      <c r="W45" s="2" t="s">
        <v>2</v>
      </c>
      <c r="X45" s="2" t="s">
        <v>2</v>
      </c>
      <c r="Y45" s="2" t="s">
        <v>2</v>
      </c>
      <c r="Z45" s="2" t="s">
        <v>2</v>
      </c>
      <c r="AA45" s="2"/>
      <c r="AB45" s="2"/>
      <c r="AC45" s="2" t="s">
        <v>2</v>
      </c>
      <c r="AD45" s="2" t="s">
        <v>2</v>
      </c>
      <c r="AE45" s="2" t="s">
        <v>2</v>
      </c>
      <c r="AF45" s="2" t="s">
        <v>2</v>
      </c>
      <c r="AG45" s="2" t="s">
        <v>2</v>
      </c>
      <c r="AH45" s="2"/>
      <c r="AI45" s="2"/>
      <c r="AJ45" s="2" t="s">
        <v>2</v>
      </c>
      <c r="AK45" s="2" t="s">
        <v>2</v>
      </c>
      <c r="AL45" s="2" t="s">
        <v>2</v>
      </c>
      <c r="AM45" s="2" t="s">
        <v>2</v>
      </c>
      <c r="AN45" s="2" t="s">
        <v>2</v>
      </c>
      <c r="AO45" s="2"/>
      <c r="AP45" s="2"/>
      <c r="AQ45" s="2" t="s">
        <v>2</v>
      </c>
      <c r="AR45" s="2" t="s">
        <v>2</v>
      </c>
    </row>
    <row r="46" spans="2:44" ht="14.25" hidden="1">
      <c r="B46" s="28" t="s">
        <v>65</v>
      </c>
      <c r="C46" s="22" t="s">
        <v>87</v>
      </c>
      <c r="D46" s="26" t="s">
        <v>49</v>
      </c>
      <c r="F46" s="10">
        <f t="shared" si="8"/>
        <v>20</v>
      </c>
      <c r="G46" s="10">
        <f t="shared" si="9"/>
        <v>0</v>
      </c>
      <c r="H46" s="10">
        <f t="shared" si="10"/>
        <v>0</v>
      </c>
      <c r="I46" s="10">
        <f t="shared" si="11"/>
        <v>0</v>
      </c>
      <c r="J46" s="10">
        <f t="shared" si="12"/>
        <v>0</v>
      </c>
      <c r="K46" s="10">
        <f t="shared" si="13"/>
        <v>0</v>
      </c>
      <c r="L46" s="10">
        <f t="shared" si="14"/>
        <v>0</v>
      </c>
      <c r="M46" s="10">
        <f t="shared" si="15"/>
        <v>0</v>
      </c>
      <c r="O46" s="2" t="s">
        <v>2</v>
      </c>
      <c r="P46" s="2" t="s">
        <v>2</v>
      </c>
      <c r="Q46" s="2" t="s">
        <v>2</v>
      </c>
      <c r="R46" s="2"/>
      <c r="S46" s="2"/>
      <c r="T46" s="2"/>
      <c r="U46" s="2"/>
      <c r="V46" s="2" t="s">
        <v>2</v>
      </c>
      <c r="W46" s="2" t="s">
        <v>2</v>
      </c>
      <c r="X46" s="2" t="s">
        <v>2</v>
      </c>
      <c r="Y46" s="2" t="s">
        <v>2</v>
      </c>
      <c r="Z46" s="2" t="s">
        <v>2</v>
      </c>
      <c r="AA46" s="2"/>
      <c r="AB46" s="2"/>
      <c r="AC46" s="2" t="s">
        <v>2</v>
      </c>
      <c r="AD46" s="2" t="s">
        <v>2</v>
      </c>
      <c r="AE46" s="2" t="s">
        <v>2</v>
      </c>
      <c r="AF46" s="2" t="s">
        <v>2</v>
      </c>
      <c r="AG46" s="2" t="s">
        <v>2</v>
      </c>
      <c r="AH46" s="2"/>
      <c r="AI46" s="2"/>
      <c r="AJ46" s="2" t="s">
        <v>2</v>
      </c>
      <c r="AK46" s="2" t="s">
        <v>2</v>
      </c>
      <c r="AL46" s="2" t="s">
        <v>2</v>
      </c>
      <c r="AM46" s="2" t="s">
        <v>2</v>
      </c>
      <c r="AN46" s="2" t="s">
        <v>2</v>
      </c>
      <c r="AO46" s="2"/>
      <c r="AP46" s="2"/>
      <c r="AQ46" s="2" t="s">
        <v>2</v>
      </c>
      <c r="AR46" s="2" t="s">
        <v>2</v>
      </c>
    </row>
    <row r="47" spans="2:44" ht="14.25" hidden="1">
      <c r="B47" s="60" t="s">
        <v>65</v>
      </c>
      <c r="C47" s="61" t="s">
        <v>88</v>
      </c>
      <c r="D47" s="62" t="s">
        <v>44</v>
      </c>
      <c r="F47" s="10">
        <f t="shared" si="8"/>
        <v>7</v>
      </c>
      <c r="G47" s="10">
        <f t="shared" si="9"/>
        <v>0</v>
      </c>
      <c r="H47" s="10">
        <f t="shared" si="10"/>
        <v>0</v>
      </c>
      <c r="I47" s="10">
        <f t="shared" si="11"/>
        <v>0</v>
      </c>
      <c r="J47" s="10">
        <f t="shared" si="12"/>
        <v>0</v>
      </c>
      <c r="K47" s="10">
        <f t="shared" si="13"/>
        <v>0</v>
      </c>
      <c r="L47" s="10">
        <f t="shared" si="14"/>
        <v>0</v>
      </c>
      <c r="M47" s="10">
        <f t="shared" si="15"/>
        <v>0</v>
      </c>
      <c r="O47" s="52"/>
      <c r="P47" s="53"/>
      <c r="Q47" s="2" t="s">
        <v>2</v>
      </c>
      <c r="R47" s="2"/>
      <c r="S47" s="2"/>
      <c r="T47" s="2"/>
      <c r="U47" s="2"/>
      <c r="V47" s="2" t="s">
        <v>2</v>
      </c>
      <c r="W47" s="2" t="s">
        <v>2</v>
      </c>
      <c r="X47" s="2" t="s">
        <v>2</v>
      </c>
      <c r="Y47" s="2" t="s">
        <v>2</v>
      </c>
      <c r="Z47" s="2" t="s">
        <v>2</v>
      </c>
      <c r="AA47" s="2"/>
      <c r="AB47" s="2"/>
      <c r="AC47" s="2" t="s">
        <v>2</v>
      </c>
      <c r="AD47" s="52"/>
      <c r="AE47" s="52"/>
      <c r="AF47" s="52"/>
      <c r="AG47" s="52"/>
      <c r="AH47" s="2"/>
      <c r="AI47" s="2"/>
      <c r="AJ47" s="52"/>
      <c r="AK47" s="52"/>
      <c r="AL47" s="52"/>
      <c r="AM47" s="52"/>
      <c r="AN47" s="52"/>
      <c r="AO47" s="2"/>
      <c r="AP47" s="2"/>
      <c r="AQ47" s="52"/>
      <c r="AR47" s="52"/>
    </row>
    <row r="48" spans="2:44" ht="14.25" hidden="1">
      <c r="B48" s="28" t="s">
        <v>65</v>
      </c>
      <c r="C48" s="22" t="s">
        <v>89</v>
      </c>
      <c r="D48" s="26" t="s">
        <v>44</v>
      </c>
      <c r="F48" s="10">
        <f t="shared" si="8"/>
        <v>20</v>
      </c>
      <c r="G48" s="10">
        <f t="shared" si="9"/>
        <v>0</v>
      </c>
      <c r="H48" s="10">
        <f t="shared" si="10"/>
        <v>0</v>
      </c>
      <c r="I48" s="10">
        <f t="shared" si="11"/>
        <v>0</v>
      </c>
      <c r="J48" s="10">
        <f t="shared" si="12"/>
        <v>0</v>
      </c>
      <c r="K48" s="10">
        <f t="shared" si="13"/>
        <v>0</v>
      </c>
      <c r="L48" s="10">
        <f t="shared" si="14"/>
        <v>0</v>
      </c>
      <c r="M48" s="10">
        <f t="shared" si="15"/>
        <v>0</v>
      </c>
      <c r="O48" s="2" t="s">
        <v>2</v>
      </c>
      <c r="P48" s="2" t="s">
        <v>2</v>
      </c>
      <c r="Q48" s="2" t="s">
        <v>2</v>
      </c>
      <c r="R48" s="2"/>
      <c r="S48" s="2"/>
      <c r="T48" s="2"/>
      <c r="U48" s="2"/>
      <c r="V48" s="2" t="s">
        <v>2</v>
      </c>
      <c r="W48" s="2" t="s">
        <v>2</v>
      </c>
      <c r="X48" s="2" t="s">
        <v>2</v>
      </c>
      <c r="Y48" s="2" t="s">
        <v>2</v>
      </c>
      <c r="Z48" s="2" t="s">
        <v>2</v>
      </c>
      <c r="AA48" s="2"/>
      <c r="AB48" s="2"/>
      <c r="AC48" s="2" t="s">
        <v>2</v>
      </c>
      <c r="AD48" s="2" t="s">
        <v>2</v>
      </c>
      <c r="AE48" s="2" t="s">
        <v>2</v>
      </c>
      <c r="AF48" s="2" t="s">
        <v>2</v>
      </c>
      <c r="AG48" s="2" t="s">
        <v>2</v>
      </c>
      <c r="AH48" s="2"/>
      <c r="AI48" s="2"/>
      <c r="AJ48" s="2" t="s">
        <v>2</v>
      </c>
      <c r="AK48" s="2" t="s">
        <v>2</v>
      </c>
      <c r="AL48" s="2" t="s">
        <v>2</v>
      </c>
      <c r="AM48" s="2" t="s">
        <v>2</v>
      </c>
      <c r="AN48" s="2" t="s">
        <v>2</v>
      </c>
      <c r="AO48" s="2"/>
      <c r="AP48" s="2"/>
      <c r="AQ48" s="2" t="s">
        <v>2</v>
      </c>
      <c r="AR48" s="2" t="s">
        <v>2</v>
      </c>
    </row>
    <row r="49" spans="2:44" ht="14.25" hidden="1">
      <c r="B49" s="28" t="s">
        <v>65</v>
      </c>
      <c r="C49" s="22" t="s">
        <v>90</v>
      </c>
      <c r="D49" s="26" t="s">
        <v>44</v>
      </c>
      <c r="F49" s="10">
        <f t="shared" si="8"/>
        <v>19</v>
      </c>
      <c r="G49" s="10">
        <f t="shared" si="9"/>
        <v>0</v>
      </c>
      <c r="H49" s="10">
        <f t="shared" si="10"/>
        <v>0</v>
      </c>
      <c r="I49" s="10">
        <f t="shared" si="11"/>
        <v>1</v>
      </c>
      <c r="J49" s="10">
        <f t="shared" si="12"/>
        <v>0</v>
      </c>
      <c r="K49" s="10">
        <f t="shared" si="13"/>
        <v>0</v>
      </c>
      <c r="L49" s="10">
        <f t="shared" si="14"/>
        <v>0</v>
      </c>
      <c r="M49" s="10">
        <f t="shared" si="15"/>
        <v>0</v>
      </c>
      <c r="O49" s="2" t="s">
        <v>2</v>
      </c>
      <c r="P49" s="2" t="s">
        <v>5</v>
      </c>
      <c r="Q49" s="2" t="s">
        <v>2</v>
      </c>
      <c r="R49" s="2"/>
      <c r="S49" s="2"/>
      <c r="T49" s="2"/>
      <c r="U49" s="2"/>
      <c r="V49" s="2" t="s">
        <v>2</v>
      </c>
      <c r="W49" s="2" t="s">
        <v>2</v>
      </c>
      <c r="X49" s="2" t="s">
        <v>2</v>
      </c>
      <c r="Y49" s="2" t="s">
        <v>2</v>
      </c>
      <c r="Z49" s="2" t="s">
        <v>2</v>
      </c>
      <c r="AA49" s="2"/>
      <c r="AB49" s="2"/>
      <c r="AC49" s="2" t="s">
        <v>2</v>
      </c>
      <c r="AD49" s="2" t="s">
        <v>2</v>
      </c>
      <c r="AE49" s="2" t="s">
        <v>2</v>
      </c>
      <c r="AF49" s="2" t="s">
        <v>2</v>
      </c>
      <c r="AG49" s="2" t="s">
        <v>2</v>
      </c>
      <c r="AH49" s="2"/>
      <c r="AI49" s="2"/>
      <c r="AJ49" s="2" t="s">
        <v>2</v>
      </c>
      <c r="AK49" s="2" t="s">
        <v>2</v>
      </c>
      <c r="AL49" s="2" t="s">
        <v>2</v>
      </c>
      <c r="AM49" s="2" t="s">
        <v>2</v>
      </c>
      <c r="AN49" s="2" t="s">
        <v>2</v>
      </c>
      <c r="AO49" s="2"/>
      <c r="AP49" s="2"/>
      <c r="AQ49" s="2" t="s">
        <v>2</v>
      </c>
      <c r="AR49" s="2" t="s">
        <v>2</v>
      </c>
    </row>
    <row r="50" spans="2:44" ht="14.25" hidden="1">
      <c r="B50" s="28" t="s">
        <v>65</v>
      </c>
      <c r="C50" s="22" t="s">
        <v>91</v>
      </c>
      <c r="D50" s="26" t="s">
        <v>47</v>
      </c>
      <c r="F50" s="10">
        <f t="shared" si="8"/>
        <v>20</v>
      </c>
      <c r="G50" s="10">
        <f t="shared" si="9"/>
        <v>0</v>
      </c>
      <c r="H50" s="10">
        <f t="shared" si="10"/>
        <v>0</v>
      </c>
      <c r="I50" s="10">
        <f t="shared" si="11"/>
        <v>0</v>
      </c>
      <c r="J50" s="10">
        <f t="shared" si="12"/>
        <v>0</v>
      </c>
      <c r="K50" s="10">
        <f t="shared" si="13"/>
        <v>0</v>
      </c>
      <c r="L50" s="10">
        <f t="shared" si="14"/>
        <v>0</v>
      </c>
      <c r="M50" s="10">
        <f t="shared" si="15"/>
        <v>0</v>
      </c>
      <c r="O50" s="2" t="s">
        <v>2</v>
      </c>
      <c r="P50" s="2" t="s">
        <v>2</v>
      </c>
      <c r="Q50" s="2" t="s">
        <v>2</v>
      </c>
      <c r="R50" s="2"/>
      <c r="S50" s="2"/>
      <c r="T50" s="2"/>
      <c r="U50" s="2"/>
      <c r="V50" s="2" t="s">
        <v>2</v>
      </c>
      <c r="W50" s="2" t="s">
        <v>2</v>
      </c>
      <c r="X50" s="2" t="s">
        <v>2</v>
      </c>
      <c r="Y50" s="2" t="s">
        <v>2</v>
      </c>
      <c r="Z50" s="2" t="s">
        <v>2</v>
      </c>
      <c r="AA50" s="2"/>
      <c r="AB50" s="2"/>
      <c r="AC50" s="2" t="s">
        <v>2</v>
      </c>
      <c r="AD50" s="2" t="s">
        <v>2</v>
      </c>
      <c r="AE50" s="2" t="s">
        <v>2</v>
      </c>
      <c r="AF50" s="2" t="s">
        <v>2</v>
      </c>
      <c r="AG50" s="2" t="s">
        <v>2</v>
      </c>
      <c r="AH50" s="2"/>
      <c r="AI50" s="2"/>
      <c r="AJ50" s="2" t="s">
        <v>2</v>
      </c>
      <c r="AK50" s="2" t="s">
        <v>2</v>
      </c>
      <c r="AL50" s="2" t="s">
        <v>2</v>
      </c>
      <c r="AM50" s="2" t="s">
        <v>2</v>
      </c>
      <c r="AN50" s="2" t="s">
        <v>2</v>
      </c>
      <c r="AO50" s="2"/>
      <c r="AP50" s="2"/>
      <c r="AQ50" s="2" t="s">
        <v>2</v>
      </c>
      <c r="AR50" s="2" t="s">
        <v>2</v>
      </c>
    </row>
    <row r="51" spans="2:44" ht="14.25" hidden="1">
      <c r="B51" s="28" t="s">
        <v>65</v>
      </c>
      <c r="C51" s="22" t="s">
        <v>92</v>
      </c>
      <c r="D51" s="26" t="s">
        <v>47</v>
      </c>
      <c r="F51" s="10">
        <f t="shared" si="8"/>
        <v>19</v>
      </c>
      <c r="G51" s="10">
        <f t="shared" si="9"/>
        <v>0</v>
      </c>
      <c r="H51" s="10">
        <f t="shared" si="10"/>
        <v>0</v>
      </c>
      <c r="I51" s="10">
        <f t="shared" si="11"/>
        <v>1</v>
      </c>
      <c r="J51" s="10">
        <f t="shared" si="12"/>
        <v>0</v>
      </c>
      <c r="K51" s="10">
        <f t="shared" si="13"/>
        <v>0</v>
      </c>
      <c r="L51" s="10">
        <f t="shared" si="14"/>
        <v>0</v>
      </c>
      <c r="M51" s="10">
        <f t="shared" si="15"/>
        <v>0</v>
      </c>
      <c r="O51" s="2" t="s">
        <v>2</v>
      </c>
      <c r="P51" s="2" t="s">
        <v>2</v>
      </c>
      <c r="Q51" s="2" t="s">
        <v>2</v>
      </c>
      <c r="R51" s="2"/>
      <c r="S51" s="2"/>
      <c r="T51" s="2"/>
      <c r="U51" s="2"/>
      <c r="V51" s="2" t="s">
        <v>2</v>
      </c>
      <c r="W51" s="2" t="s">
        <v>2</v>
      </c>
      <c r="X51" s="2" t="s">
        <v>2</v>
      </c>
      <c r="Y51" s="2" t="s">
        <v>2</v>
      </c>
      <c r="Z51" s="2" t="s">
        <v>2</v>
      </c>
      <c r="AA51" s="2"/>
      <c r="AB51" s="2"/>
      <c r="AC51" s="2" t="s">
        <v>2</v>
      </c>
      <c r="AD51" s="2" t="s">
        <v>2</v>
      </c>
      <c r="AE51" s="2" t="s">
        <v>2</v>
      </c>
      <c r="AF51" s="2" t="s">
        <v>2</v>
      </c>
      <c r="AG51" s="2" t="s">
        <v>2</v>
      </c>
      <c r="AH51" s="2"/>
      <c r="AI51" s="2"/>
      <c r="AJ51" s="2" t="s">
        <v>2</v>
      </c>
      <c r="AK51" s="2" t="s">
        <v>2</v>
      </c>
      <c r="AL51" s="2" t="s">
        <v>2</v>
      </c>
      <c r="AM51" s="2" t="s">
        <v>2</v>
      </c>
      <c r="AN51" s="2" t="s">
        <v>5</v>
      </c>
      <c r="AO51" s="2"/>
      <c r="AP51" s="2"/>
      <c r="AQ51" s="2" t="s">
        <v>2</v>
      </c>
      <c r="AR51" s="2" t="s">
        <v>2</v>
      </c>
    </row>
    <row r="52" spans="2:44" ht="14.25" hidden="1">
      <c r="B52" s="28" t="s">
        <v>65</v>
      </c>
      <c r="C52" s="22" t="s">
        <v>93</v>
      </c>
      <c r="D52" s="26" t="s">
        <v>47</v>
      </c>
      <c r="F52" s="10">
        <f t="shared" si="8"/>
        <v>14</v>
      </c>
      <c r="G52" s="10">
        <f t="shared" si="9"/>
        <v>0</v>
      </c>
      <c r="H52" s="10">
        <f t="shared" si="10"/>
        <v>1</v>
      </c>
      <c r="I52" s="10">
        <f t="shared" si="11"/>
        <v>3</v>
      </c>
      <c r="J52" s="10">
        <f t="shared" si="12"/>
        <v>0</v>
      </c>
      <c r="K52" s="10">
        <f t="shared" si="13"/>
        <v>0</v>
      </c>
      <c r="L52" s="10">
        <f t="shared" si="14"/>
        <v>0</v>
      </c>
      <c r="M52" s="10">
        <f t="shared" si="15"/>
        <v>0</v>
      </c>
      <c r="O52" s="52"/>
      <c r="P52" s="53"/>
      <c r="Q52" s="2" t="s">
        <v>2</v>
      </c>
      <c r="R52" s="2"/>
      <c r="S52" s="2"/>
      <c r="T52" s="2"/>
      <c r="U52" s="2"/>
      <c r="V52" s="2" t="s">
        <v>2</v>
      </c>
      <c r="W52" s="2" t="s">
        <v>2</v>
      </c>
      <c r="X52" s="2" t="s">
        <v>2</v>
      </c>
      <c r="Y52" s="2" t="s">
        <v>2</v>
      </c>
      <c r="Z52" s="2" t="s">
        <v>2</v>
      </c>
      <c r="AA52" s="2"/>
      <c r="AB52" s="2"/>
      <c r="AC52" s="2" t="s">
        <v>2</v>
      </c>
      <c r="AD52" s="2" t="s">
        <v>2</v>
      </c>
      <c r="AE52" s="2" t="s">
        <v>2</v>
      </c>
      <c r="AF52" s="2" t="s">
        <v>2</v>
      </c>
      <c r="AG52" s="2" t="s">
        <v>5</v>
      </c>
      <c r="AH52" s="2"/>
      <c r="AI52" s="2"/>
      <c r="AJ52" s="2" t="s">
        <v>2</v>
      </c>
      <c r="AK52" s="2" t="s">
        <v>2</v>
      </c>
      <c r="AL52" s="2" t="s">
        <v>2</v>
      </c>
      <c r="AM52" s="2" t="s">
        <v>5</v>
      </c>
      <c r="AN52" s="2" t="s">
        <v>5</v>
      </c>
      <c r="AO52" s="2"/>
      <c r="AP52" s="2"/>
      <c r="AQ52" s="2" t="s">
        <v>2</v>
      </c>
      <c r="AR52" s="2" t="s">
        <v>4</v>
      </c>
    </row>
    <row r="53" spans="2:44" ht="14.25" hidden="1">
      <c r="B53" s="28" t="s">
        <v>65</v>
      </c>
      <c r="C53" s="22" t="s">
        <v>94</v>
      </c>
      <c r="D53" s="26" t="s">
        <v>47</v>
      </c>
      <c r="F53" s="10">
        <f t="shared" si="8"/>
        <v>20</v>
      </c>
      <c r="G53" s="10">
        <f t="shared" si="9"/>
        <v>0</v>
      </c>
      <c r="H53" s="10">
        <f t="shared" si="10"/>
        <v>0</v>
      </c>
      <c r="I53" s="10">
        <f t="shared" si="11"/>
        <v>0</v>
      </c>
      <c r="J53" s="10">
        <f t="shared" si="12"/>
        <v>0</v>
      </c>
      <c r="K53" s="10">
        <f t="shared" si="13"/>
        <v>0</v>
      </c>
      <c r="L53" s="10">
        <f t="shared" si="14"/>
        <v>0</v>
      </c>
      <c r="M53" s="10">
        <f t="shared" si="15"/>
        <v>0</v>
      </c>
      <c r="O53" s="2" t="s">
        <v>2</v>
      </c>
      <c r="P53" s="2" t="s">
        <v>2</v>
      </c>
      <c r="Q53" s="2" t="s">
        <v>2</v>
      </c>
      <c r="R53" s="2"/>
      <c r="S53" s="2"/>
      <c r="T53" s="2"/>
      <c r="U53" s="2"/>
      <c r="V53" s="2" t="s">
        <v>2</v>
      </c>
      <c r="W53" s="2" t="s">
        <v>2</v>
      </c>
      <c r="X53" s="2" t="s">
        <v>2</v>
      </c>
      <c r="Y53" s="2" t="s">
        <v>2</v>
      </c>
      <c r="Z53" s="2" t="s">
        <v>2</v>
      </c>
      <c r="AA53" s="2"/>
      <c r="AB53" s="2"/>
      <c r="AC53" s="2" t="s">
        <v>2</v>
      </c>
      <c r="AD53" s="2" t="s">
        <v>2</v>
      </c>
      <c r="AE53" s="2" t="s">
        <v>2</v>
      </c>
      <c r="AF53" s="2" t="s">
        <v>2</v>
      </c>
      <c r="AG53" s="2" t="s">
        <v>2</v>
      </c>
      <c r="AH53" s="2"/>
      <c r="AI53" s="2"/>
      <c r="AJ53" s="2" t="s">
        <v>2</v>
      </c>
      <c r="AK53" s="2" t="s">
        <v>2</v>
      </c>
      <c r="AL53" s="2" t="s">
        <v>2</v>
      </c>
      <c r="AM53" s="2" t="s">
        <v>2</v>
      </c>
      <c r="AN53" s="2" t="s">
        <v>2</v>
      </c>
      <c r="AO53" s="2"/>
      <c r="AP53" s="2"/>
      <c r="AQ53" s="2" t="s">
        <v>2</v>
      </c>
      <c r="AR53" s="2" t="s">
        <v>2</v>
      </c>
    </row>
    <row r="54" spans="2:44" ht="14.25" hidden="1">
      <c r="B54" s="28" t="s">
        <v>65</v>
      </c>
      <c r="C54" s="22" t="s">
        <v>95</v>
      </c>
      <c r="D54" s="26" t="s">
        <v>40</v>
      </c>
      <c r="F54" s="10">
        <f t="shared" si="8"/>
        <v>20</v>
      </c>
      <c r="G54" s="10">
        <f t="shared" si="9"/>
        <v>0</v>
      </c>
      <c r="H54" s="10">
        <f t="shared" si="10"/>
        <v>0</v>
      </c>
      <c r="I54" s="10">
        <f t="shared" si="11"/>
        <v>0</v>
      </c>
      <c r="J54" s="10">
        <f t="shared" si="12"/>
        <v>0</v>
      </c>
      <c r="K54" s="10">
        <f t="shared" si="13"/>
        <v>0</v>
      </c>
      <c r="L54" s="10">
        <f t="shared" si="14"/>
        <v>0</v>
      </c>
      <c r="M54" s="10">
        <f t="shared" si="15"/>
        <v>0</v>
      </c>
      <c r="O54" s="2" t="s">
        <v>2</v>
      </c>
      <c r="P54" s="2" t="s">
        <v>2</v>
      </c>
      <c r="Q54" s="2" t="s">
        <v>2</v>
      </c>
      <c r="R54" s="2"/>
      <c r="S54" s="2"/>
      <c r="T54" s="2"/>
      <c r="U54" s="2"/>
      <c r="V54" s="2" t="s">
        <v>2</v>
      </c>
      <c r="W54" s="2" t="s">
        <v>2</v>
      </c>
      <c r="X54" s="2" t="s">
        <v>2</v>
      </c>
      <c r="Y54" s="2" t="s">
        <v>2</v>
      </c>
      <c r="Z54" s="2" t="s">
        <v>2</v>
      </c>
      <c r="AA54" s="2"/>
      <c r="AB54" s="2"/>
      <c r="AC54" s="2" t="s">
        <v>2</v>
      </c>
      <c r="AD54" s="2" t="s">
        <v>2</v>
      </c>
      <c r="AE54" s="2" t="s">
        <v>2</v>
      </c>
      <c r="AF54" s="2" t="s">
        <v>2</v>
      </c>
      <c r="AG54" s="2" t="s">
        <v>2</v>
      </c>
      <c r="AH54" s="2"/>
      <c r="AI54" s="2"/>
      <c r="AJ54" s="2" t="s">
        <v>2</v>
      </c>
      <c r="AK54" s="2" t="s">
        <v>2</v>
      </c>
      <c r="AL54" s="2" t="s">
        <v>2</v>
      </c>
      <c r="AM54" s="2" t="s">
        <v>2</v>
      </c>
      <c r="AN54" s="2" t="s">
        <v>2</v>
      </c>
      <c r="AO54" s="2"/>
      <c r="AP54" s="2"/>
      <c r="AQ54" s="2" t="s">
        <v>2</v>
      </c>
      <c r="AR54" s="2" t="s">
        <v>2</v>
      </c>
    </row>
    <row r="55" spans="2:44" ht="14.25" hidden="1">
      <c r="B55" s="28" t="s">
        <v>65</v>
      </c>
      <c r="C55" s="22" t="s">
        <v>96</v>
      </c>
      <c r="D55" s="26" t="s">
        <v>44</v>
      </c>
      <c r="F55" s="10">
        <f t="shared" si="8"/>
        <v>18</v>
      </c>
      <c r="G55" s="10">
        <f t="shared" si="9"/>
        <v>0</v>
      </c>
      <c r="H55" s="10">
        <f t="shared" si="10"/>
        <v>0</v>
      </c>
      <c r="I55" s="10">
        <f t="shared" si="11"/>
        <v>0</v>
      </c>
      <c r="J55" s="10">
        <f t="shared" si="12"/>
        <v>0</v>
      </c>
      <c r="K55" s="10">
        <f t="shared" si="13"/>
        <v>0</v>
      </c>
      <c r="L55" s="10">
        <f t="shared" si="14"/>
        <v>0</v>
      </c>
      <c r="M55" s="10">
        <f t="shared" si="15"/>
        <v>0</v>
      </c>
      <c r="O55" s="52"/>
      <c r="P55" s="53"/>
      <c r="Q55" s="2" t="s">
        <v>2</v>
      </c>
      <c r="R55" s="2"/>
      <c r="S55" s="2"/>
      <c r="T55" s="2"/>
      <c r="U55" s="2"/>
      <c r="V55" s="2" t="s">
        <v>2</v>
      </c>
      <c r="W55" s="2" t="s">
        <v>2</v>
      </c>
      <c r="X55" s="2" t="s">
        <v>2</v>
      </c>
      <c r="Y55" s="2" t="s">
        <v>2</v>
      </c>
      <c r="Z55" s="2" t="s">
        <v>2</v>
      </c>
      <c r="AA55" s="2"/>
      <c r="AB55" s="2"/>
      <c r="AC55" s="2" t="s">
        <v>2</v>
      </c>
      <c r="AD55" s="2" t="s">
        <v>2</v>
      </c>
      <c r="AE55" s="2" t="s">
        <v>2</v>
      </c>
      <c r="AF55" s="2" t="s">
        <v>2</v>
      </c>
      <c r="AG55" s="2" t="s">
        <v>2</v>
      </c>
      <c r="AH55" s="2"/>
      <c r="AI55" s="2"/>
      <c r="AJ55" s="2" t="s">
        <v>2</v>
      </c>
      <c r="AK55" s="2" t="s">
        <v>2</v>
      </c>
      <c r="AL55" s="2" t="s">
        <v>2</v>
      </c>
      <c r="AM55" s="2" t="s">
        <v>2</v>
      </c>
      <c r="AN55" s="2" t="s">
        <v>2</v>
      </c>
      <c r="AO55" s="2"/>
      <c r="AP55" s="2"/>
      <c r="AQ55" s="2" t="s">
        <v>2</v>
      </c>
      <c r="AR55" s="2" t="s">
        <v>2</v>
      </c>
    </row>
    <row r="56" spans="2:44" ht="14.25" hidden="1">
      <c r="B56" s="28" t="s">
        <v>97</v>
      </c>
      <c r="C56" s="22" t="s">
        <v>98</v>
      </c>
      <c r="D56" s="26" t="s">
        <v>44</v>
      </c>
      <c r="F56" s="10">
        <f t="shared" si="8"/>
        <v>20</v>
      </c>
      <c r="G56" s="10">
        <f t="shared" si="9"/>
        <v>0</v>
      </c>
      <c r="H56" s="10">
        <f t="shared" si="10"/>
        <v>0</v>
      </c>
      <c r="I56" s="10">
        <f t="shared" si="11"/>
        <v>0</v>
      </c>
      <c r="J56" s="10">
        <f t="shared" si="12"/>
        <v>0</v>
      </c>
      <c r="K56" s="10">
        <f t="shared" si="13"/>
        <v>0</v>
      </c>
      <c r="L56" s="10">
        <f t="shared" si="14"/>
        <v>0</v>
      </c>
      <c r="M56" s="10">
        <f t="shared" si="15"/>
        <v>0</v>
      </c>
      <c r="O56" s="2" t="s">
        <v>2</v>
      </c>
      <c r="P56" s="2" t="s">
        <v>2</v>
      </c>
      <c r="Q56" s="2" t="s">
        <v>2</v>
      </c>
      <c r="R56" s="2"/>
      <c r="S56" s="2"/>
      <c r="T56" s="2"/>
      <c r="U56" s="2"/>
      <c r="V56" s="2" t="s">
        <v>2</v>
      </c>
      <c r="W56" s="2" t="s">
        <v>2</v>
      </c>
      <c r="X56" s="2" t="s">
        <v>2</v>
      </c>
      <c r="Y56" s="2" t="s">
        <v>2</v>
      </c>
      <c r="Z56" s="2" t="s">
        <v>2</v>
      </c>
      <c r="AA56" s="2"/>
      <c r="AB56" s="2"/>
      <c r="AC56" s="2" t="s">
        <v>2</v>
      </c>
      <c r="AD56" s="2" t="s">
        <v>2</v>
      </c>
      <c r="AE56" s="2" t="s">
        <v>2</v>
      </c>
      <c r="AF56" s="2" t="s">
        <v>2</v>
      </c>
      <c r="AG56" s="2" t="s">
        <v>2</v>
      </c>
      <c r="AH56" s="2"/>
      <c r="AI56" s="2"/>
      <c r="AJ56" s="2" t="s">
        <v>2</v>
      </c>
      <c r="AK56" s="2" t="s">
        <v>2</v>
      </c>
      <c r="AL56" s="2" t="s">
        <v>2</v>
      </c>
      <c r="AM56" s="2" t="s">
        <v>2</v>
      </c>
      <c r="AN56" s="2" t="s">
        <v>2</v>
      </c>
      <c r="AO56" s="2"/>
      <c r="AP56" s="2"/>
      <c r="AQ56" s="2" t="s">
        <v>2</v>
      </c>
      <c r="AR56" s="2" t="s">
        <v>2</v>
      </c>
    </row>
    <row r="57" spans="2:44" ht="14.25" hidden="1">
      <c r="B57" s="28" t="s">
        <v>97</v>
      </c>
      <c r="C57" s="22" t="s">
        <v>99</v>
      </c>
      <c r="D57" s="26" t="s">
        <v>44</v>
      </c>
      <c r="F57" s="10">
        <f t="shared" si="8"/>
        <v>20</v>
      </c>
      <c r="G57" s="10">
        <f t="shared" si="9"/>
        <v>0</v>
      </c>
      <c r="H57" s="10">
        <f t="shared" si="10"/>
        <v>0</v>
      </c>
      <c r="I57" s="10">
        <f t="shared" si="11"/>
        <v>0</v>
      </c>
      <c r="J57" s="10">
        <f t="shared" si="12"/>
        <v>0</v>
      </c>
      <c r="K57" s="10">
        <f t="shared" si="13"/>
        <v>0</v>
      </c>
      <c r="L57" s="10">
        <f t="shared" si="14"/>
        <v>0</v>
      </c>
      <c r="M57" s="10">
        <f t="shared" si="15"/>
        <v>0</v>
      </c>
      <c r="O57" s="2" t="s">
        <v>2</v>
      </c>
      <c r="P57" s="2" t="s">
        <v>2</v>
      </c>
      <c r="Q57" s="2" t="s">
        <v>2</v>
      </c>
      <c r="R57" s="2"/>
      <c r="S57" s="2"/>
      <c r="T57" s="2"/>
      <c r="U57" s="2"/>
      <c r="V57" s="2" t="s">
        <v>2</v>
      </c>
      <c r="W57" s="2" t="s">
        <v>2</v>
      </c>
      <c r="X57" s="2" t="s">
        <v>2</v>
      </c>
      <c r="Y57" s="2" t="s">
        <v>2</v>
      </c>
      <c r="Z57" s="2" t="s">
        <v>2</v>
      </c>
      <c r="AA57" s="2"/>
      <c r="AB57" s="2"/>
      <c r="AC57" s="2" t="s">
        <v>2</v>
      </c>
      <c r="AD57" s="2" t="s">
        <v>2</v>
      </c>
      <c r="AE57" s="2" t="s">
        <v>2</v>
      </c>
      <c r="AF57" s="2" t="s">
        <v>2</v>
      </c>
      <c r="AG57" s="2" t="s">
        <v>2</v>
      </c>
      <c r="AH57" s="2"/>
      <c r="AI57" s="2"/>
      <c r="AJ57" s="2" t="s">
        <v>2</v>
      </c>
      <c r="AK57" s="2" t="s">
        <v>2</v>
      </c>
      <c r="AL57" s="2" t="s">
        <v>2</v>
      </c>
      <c r="AM57" s="2" t="s">
        <v>2</v>
      </c>
      <c r="AN57" s="2" t="s">
        <v>2</v>
      </c>
      <c r="AO57" s="2"/>
      <c r="AP57" s="2"/>
      <c r="AQ57" s="2" t="s">
        <v>2</v>
      </c>
      <c r="AR57" s="2" t="s">
        <v>2</v>
      </c>
    </row>
    <row r="58" spans="2:44" ht="14.25" hidden="1">
      <c r="B58" s="28" t="s">
        <v>97</v>
      </c>
      <c r="C58" s="22" t="s">
        <v>100</v>
      </c>
      <c r="D58" s="26" t="s">
        <v>44</v>
      </c>
      <c r="F58" s="10">
        <f t="shared" si="8"/>
        <v>13</v>
      </c>
      <c r="G58" s="10">
        <f t="shared" si="9"/>
        <v>0</v>
      </c>
      <c r="H58" s="10">
        <f t="shared" si="10"/>
        <v>1</v>
      </c>
      <c r="I58" s="10">
        <f t="shared" si="11"/>
        <v>0</v>
      </c>
      <c r="J58" s="10">
        <f t="shared" si="12"/>
        <v>0</v>
      </c>
      <c r="K58" s="10">
        <f t="shared" si="13"/>
        <v>0</v>
      </c>
      <c r="L58" s="10">
        <f t="shared" si="14"/>
        <v>0</v>
      </c>
      <c r="M58" s="10">
        <f t="shared" si="15"/>
        <v>0</v>
      </c>
      <c r="O58" s="52"/>
      <c r="P58" s="52"/>
      <c r="Q58" s="52"/>
      <c r="R58" s="2"/>
      <c r="S58" s="2"/>
      <c r="T58" s="2"/>
      <c r="U58" s="2"/>
      <c r="V58" s="52"/>
      <c r="W58" s="52"/>
      <c r="X58" s="52"/>
      <c r="Y58" s="2" t="s">
        <v>2</v>
      </c>
      <c r="Z58" s="2" t="s">
        <v>2</v>
      </c>
      <c r="AA58" s="2"/>
      <c r="AB58" s="2"/>
      <c r="AC58" s="2" t="s">
        <v>2</v>
      </c>
      <c r="AD58" s="2" t="s">
        <v>2</v>
      </c>
      <c r="AE58" s="2" t="s">
        <v>2</v>
      </c>
      <c r="AF58" s="2" t="s">
        <v>2</v>
      </c>
      <c r="AG58" s="2" t="s">
        <v>2</v>
      </c>
      <c r="AH58" s="2"/>
      <c r="AI58" s="2"/>
      <c r="AJ58" s="2" t="s">
        <v>2</v>
      </c>
      <c r="AK58" s="2" t="s">
        <v>2</v>
      </c>
      <c r="AL58" s="2" t="s">
        <v>2</v>
      </c>
      <c r="AM58" s="2" t="s">
        <v>4</v>
      </c>
      <c r="AN58" s="2" t="s">
        <v>2</v>
      </c>
      <c r="AO58" s="2"/>
      <c r="AP58" s="2"/>
      <c r="AQ58" s="2" t="s">
        <v>2</v>
      </c>
      <c r="AR58" s="2" t="s">
        <v>2</v>
      </c>
    </row>
    <row r="59" spans="2:44" ht="14.25" hidden="1">
      <c r="B59" s="28" t="s">
        <v>97</v>
      </c>
      <c r="C59" s="22" t="s">
        <v>101</v>
      </c>
      <c r="D59" s="26" t="s">
        <v>44</v>
      </c>
      <c r="F59" s="10">
        <f t="shared" si="8"/>
        <v>20</v>
      </c>
      <c r="G59" s="10">
        <f t="shared" si="9"/>
        <v>0</v>
      </c>
      <c r="H59" s="10">
        <f t="shared" si="10"/>
        <v>0</v>
      </c>
      <c r="I59" s="10">
        <f t="shared" si="11"/>
        <v>0</v>
      </c>
      <c r="J59" s="10">
        <f t="shared" si="12"/>
        <v>0</v>
      </c>
      <c r="K59" s="10">
        <f t="shared" si="13"/>
        <v>0</v>
      </c>
      <c r="L59" s="10">
        <f t="shared" si="14"/>
        <v>0</v>
      </c>
      <c r="M59" s="10">
        <f t="shared" si="15"/>
        <v>0</v>
      </c>
      <c r="O59" s="2" t="s">
        <v>2</v>
      </c>
      <c r="P59" s="2" t="s">
        <v>2</v>
      </c>
      <c r="Q59" s="2" t="s">
        <v>2</v>
      </c>
      <c r="R59" s="2"/>
      <c r="S59" s="2"/>
      <c r="T59" s="2"/>
      <c r="U59" s="2"/>
      <c r="V59" s="2" t="s">
        <v>2</v>
      </c>
      <c r="W59" s="2" t="s">
        <v>2</v>
      </c>
      <c r="X59" s="2" t="s">
        <v>2</v>
      </c>
      <c r="Y59" s="2" t="s">
        <v>2</v>
      </c>
      <c r="Z59" s="2" t="s">
        <v>2</v>
      </c>
      <c r="AA59" s="2"/>
      <c r="AB59" s="2"/>
      <c r="AC59" s="2" t="s">
        <v>2</v>
      </c>
      <c r="AD59" s="2" t="s">
        <v>2</v>
      </c>
      <c r="AE59" s="2" t="s">
        <v>2</v>
      </c>
      <c r="AF59" s="2" t="s">
        <v>2</v>
      </c>
      <c r="AG59" s="2" t="s">
        <v>2</v>
      </c>
      <c r="AH59" s="2"/>
      <c r="AI59" s="2"/>
      <c r="AJ59" s="2" t="s">
        <v>2</v>
      </c>
      <c r="AK59" s="2" t="s">
        <v>2</v>
      </c>
      <c r="AL59" s="2" t="s">
        <v>2</v>
      </c>
      <c r="AM59" s="2" t="s">
        <v>2</v>
      </c>
      <c r="AN59" s="2" t="s">
        <v>2</v>
      </c>
      <c r="AO59" s="2"/>
      <c r="AP59" s="2"/>
      <c r="AQ59" s="2" t="s">
        <v>2</v>
      </c>
      <c r="AR59" s="2" t="s">
        <v>2</v>
      </c>
    </row>
    <row r="60" spans="2:44" ht="14.25" hidden="1">
      <c r="B60" s="28" t="s">
        <v>97</v>
      </c>
      <c r="C60" s="22" t="s">
        <v>102</v>
      </c>
      <c r="D60" s="26" t="s">
        <v>44</v>
      </c>
      <c r="F60" s="10">
        <f t="shared" si="8"/>
        <v>20</v>
      </c>
      <c r="G60" s="10">
        <f t="shared" si="9"/>
        <v>0</v>
      </c>
      <c r="H60" s="10">
        <f t="shared" si="10"/>
        <v>0</v>
      </c>
      <c r="I60" s="10">
        <f t="shared" si="11"/>
        <v>0</v>
      </c>
      <c r="J60" s="10">
        <f t="shared" si="12"/>
        <v>0</v>
      </c>
      <c r="K60" s="10">
        <f t="shared" si="13"/>
        <v>0</v>
      </c>
      <c r="L60" s="10">
        <f t="shared" si="14"/>
        <v>0</v>
      </c>
      <c r="M60" s="10">
        <f t="shared" si="15"/>
        <v>0</v>
      </c>
      <c r="O60" s="2" t="s">
        <v>2</v>
      </c>
      <c r="P60" s="2" t="s">
        <v>2</v>
      </c>
      <c r="Q60" s="2" t="s">
        <v>2</v>
      </c>
      <c r="R60" s="2"/>
      <c r="S60" s="2"/>
      <c r="T60" s="2"/>
      <c r="U60" s="2"/>
      <c r="V60" s="2" t="s">
        <v>2</v>
      </c>
      <c r="W60" s="2" t="s">
        <v>2</v>
      </c>
      <c r="X60" s="2" t="s">
        <v>2</v>
      </c>
      <c r="Y60" s="2" t="s">
        <v>2</v>
      </c>
      <c r="Z60" s="2" t="s">
        <v>2</v>
      </c>
      <c r="AA60" s="2"/>
      <c r="AB60" s="2"/>
      <c r="AC60" s="2" t="s">
        <v>2</v>
      </c>
      <c r="AD60" s="2" t="s">
        <v>2</v>
      </c>
      <c r="AE60" s="2" t="s">
        <v>2</v>
      </c>
      <c r="AF60" s="2" t="s">
        <v>2</v>
      </c>
      <c r="AG60" s="2" t="s">
        <v>2</v>
      </c>
      <c r="AH60" s="2"/>
      <c r="AI60" s="2"/>
      <c r="AJ60" s="2" t="s">
        <v>2</v>
      </c>
      <c r="AK60" s="2" t="s">
        <v>2</v>
      </c>
      <c r="AL60" s="2" t="s">
        <v>2</v>
      </c>
      <c r="AM60" s="2" t="s">
        <v>2</v>
      </c>
      <c r="AN60" s="2" t="s">
        <v>2</v>
      </c>
      <c r="AO60" s="2"/>
      <c r="AP60" s="2"/>
      <c r="AQ60" s="2" t="s">
        <v>2</v>
      </c>
      <c r="AR60" s="2" t="s">
        <v>2</v>
      </c>
    </row>
    <row r="61" spans="2:44" ht="14.25" hidden="1">
      <c r="B61" s="28" t="s">
        <v>97</v>
      </c>
      <c r="C61" s="22" t="s">
        <v>103</v>
      </c>
      <c r="D61" s="26" t="s">
        <v>44</v>
      </c>
      <c r="F61" s="10">
        <f t="shared" si="8"/>
        <v>19</v>
      </c>
      <c r="G61" s="10">
        <f t="shared" si="9"/>
        <v>0</v>
      </c>
      <c r="H61" s="10">
        <f t="shared" si="10"/>
        <v>0</v>
      </c>
      <c r="I61" s="10">
        <f t="shared" si="11"/>
        <v>1</v>
      </c>
      <c r="J61" s="10">
        <f t="shared" si="12"/>
        <v>0</v>
      </c>
      <c r="K61" s="10">
        <f t="shared" si="13"/>
        <v>0</v>
      </c>
      <c r="L61" s="10">
        <f t="shared" si="14"/>
        <v>0</v>
      </c>
      <c r="M61" s="10">
        <f t="shared" si="15"/>
        <v>0</v>
      </c>
      <c r="O61" s="2" t="s">
        <v>2</v>
      </c>
      <c r="P61" s="2" t="s">
        <v>2</v>
      </c>
      <c r="Q61" s="2" t="s">
        <v>2</v>
      </c>
      <c r="R61" s="2"/>
      <c r="S61" s="2"/>
      <c r="T61" s="2"/>
      <c r="U61" s="2"/>
      <c r="V61" s="2" t="s">
        <v>5</v>
      </c>
      <c r="W61" s="2" t="s">
        <v>2</v>
      </c>
      <c r="X61" s="2" t="s">
        <v>2</v>
      </c>
      <c r="Y61" s="2" t="s">
        <v>2</v>
      </c>
      <c r="Z61" s="2" t="s">
        <v>2</v>
      </c>
      <c r="AA61" s="2"/>
      <c r="AB61" s="2"/>
      <c r="AC61" s="2" t="s">
        <v>2</v>
      </c>
      <c r="AD61" s="2" t="s">
        <v>2</v>
      </c>
      <c r="AE61" s="2" t="s">
        <v>2</v>
      </c>
      <c r="AF61" s="2" t="s">
        <v>2</v>
      </c>
      <c r="AG61" s="2" t="s">
        <v>2</v>
      </c>
      <c r="AH61" s="2"/>
      <c r="AI61" s="2"/>
      <c r="AJ61" s="2" t="s">
        <v>2</v>
      </c>
      <c r="AK61" s="2" t="s">
        <v>2</v>
      </c>
      <c r="AL61" s="2" t="s">
        <v>2</v>
      </c>
      <c r="AM61" s="2" t="s">
        <v>2</v>
      </c>
      <c r="AN61" s="2" t="s">
        <v>2</v>
      </c>
      <c r="AO61" s="2"/>
      <c r="AP61" s="2"/>
      <c r="AQ61" s="2" t="s">
        <v>2</v>
      </c>
      <c r="AR61" s="2" t="s">
        <v>2</v>
      </c>
    </row>
    <row r="62" spans="2:44" ht="14.25" hidden="1">
      <c r="B62" s="28" t="s">
        <v>97</v>
      </c>
      <c r="C62" s="22" t="s">
        <v>104</v>
      </c>
      <c r="D62" s="26" t="s">
        <v>44</v>
      </c>
      <c r="F62" s="10">
        <f t="shared" si="8"/>
        <v>16</v>
      </c>
      <c r="G62" s="10">
        <f t="shared" si="9"/>
        <v>0</v>
      </c>
      <c r="H62" s="10">
        <f t="shared" si="10"/>
        <v>0</v>
      </c>
      <c r="I62" s="10">
        <f t="shared" si="11"/>
        <v>4</v>
      </c>
      <c r="J62" s="10">
        <f t="shared" si="12"/>
        <v>0</v>
      </c>
      <c r="K62" s="10">
        <f t="shared" si="13"/>
        <v>0</v>
      </c>
      <c r="L62" s="10">
        <f t="shared" si="14"/>
        <v>0</v>
      </c>
      <c r="M62" s="10">
        <f t="shared" si="15"/>
        <v>0</v>
      </c>
      <c r="O62" s="2" t="s">
        <v>2</v>
      </c>
      <c r="P62" s="2" t="s">
        <v>2</v>
      </c>
      <c r="Q62" s="2" t="s">
        <v>2</v>
      </c>
      <c r="R62" s="2"/>
      <c r="S62" s="2"/>
      <c r="T62" s="2"/>
      <c r="U62" s="2"/>
      <c r="V62" s="2" t="s">
        <v>5</v>
      </c>
      <c r="W62" s="2" t="s">
        <v>5</v>
      </c>
      <c r="X62" s="2" t="s">
        <v>2</v>
      </c>
      <c r="Y62" s="2" t="s">
        <v>2</v>
      </c>
      <c r="Z62" s="2" t="s">
        <v>2</v>
      </c>
      <c r="AA62" s="2"/>
      <c r="AB62" s="2"/>
      <c r="AC62" s="2" t="s">
        <v>2</v>
      </c>
      <c r="AD62" s="2" t="s">
        <v>2</v>
      </c>
      <c r="AE62" s="2" t="s">
        <v>2</v>
      </c>
      <c r="AF62" s="2" t="s">
        <v>2</v>
      </c>
      <c r="AG62" s="2" t="s">
        <v>2</v>
      </c>
      <c r="AH62" s="2"/>
      <c r="AI62" s="2"/>
      <c r="AJ62" s="2" t="s">
        <v>2</v>
      </c>
      <c r="AK62" s="2" t="s">
        <v>2</v>
      </c>
      <c r="AL62" s="2" t="s">
        <v>2</v>
      </c>
      <c r="AM62" s="2" t="s">
        <v>5</v>
      </c>
      <c r="AN62" s="2" t="s">
        <v>5</v>
      </c>
      <c r="AO62" s="2"/>
      <c r="AP62" s="2"/>
      <c r="AQ62" s="2" t="s">
        <v>2</v>
      </c>
      <c r="AR62" s="2" t="s">
        <v>2</v>
      </c>
    </row>
    <row r="63" spans="2:44" ht="14.25" hidden="1">
      <c r="B63" s="28" t="s">
        <v>97</v>
      </c>
      <c r="C63" s="22" t="s">
        <v>105</v>
      </c>
      <c r="D63" s="26" t="s">
        <v>56</v>
      </c>
      <c r="F63" s="10">
        <f t="shared" si="8"/>
        <v>18</v>
      </c>
      <c r="G63" s="10">
        <f t="shared" si="9"/>
        <v>0</v>
      </c>
      <c r="H63" s="10">
        <f t="shared" si="10"/>
        <v>0</v>
      </c>
      <c r="I63" s="10">
        <f t="shared" si="11"/>
        <v>2</v>
      </c>
      <c r="J63" s="10">
        <f t="shared" si="12"/>
        <v>0</v>
      </c>
      <c r="K63" s="10">
        <f t="shared" si="13"/>
        <v>0</v>
      </c>
      <c r="L63" s="10">
        <f t="shared" si="14"/>
        <v>0</v>
      </c>
      <c r="M63" s="10">
        <f t="shared" si="15"/>
        <v>0</v>
      </c>
      <c r="O63" s="2" t="s">
        <v>2</v>
      </c>
      <c r="P63" s="2" t="s">
        <v>2</v>
      </c>
      <c r="Q63" s="2" t="s">
        <v>2</v>
      </c>
      <c r="R63" s="2"/>
      <c r="S63" s="2"/>
      <c r="T63" s="2"/>
      <c r="U63" s="2"/>
      <c r="V63" s="2" t="s">
        <v>2</v>
      </c>
      <c r="W63" s="2" t="s">
        <v>2</v>
      </c>
      <c r="X63" s="2" t="s">
        <v>2</v>
      </c>
      <c r="Y63" s="2" t="s">
        <v>2</v>
      </c>
      <c r="Z63" s="2" t="s">
        <v>2</v>
      </c>
      <c r="AA63" s="2"/>
      <c r="AB63" s="2"/>
      <c r="AC63" s="2" t="s">
        <v>2</v>
      </c>
      <c r="AD63" s="2" t="s">
        <v>2</v>
      </c>
      <c r="AE63" s="2" t="s">
        <v>2</v>
      </c>
      <c r="AF63" s="2" t="s">
        <v>2</v>
      </c>
      <c r="AG63" s="2" t="s">
        <v>2</v>
      </c>
      <c r="AH63" s="2"/>
      <c r="AI63" s="2"/>
      <c r="AJ63" s="2" t="s">
        <v>2</v>
      </c>
      <c r="AK63" s="2" t="s">
        <v>2</v>
      </c>
      <c r="AL63" s="2" t="s">
        <v>2</v>
      </c>
      <c r="AM63" s="2" t="s">
        <v>5</v>
      </c>
      <c r="AN63" s="2" t="s">
        <v>5</v>
      </c>
      <c r="AO63" s="2"/>
      <c r="AP63" s="2"/>
      <c r="AQ63" s="2" t="s">
        <v>2</v>
      </c>
      <c r="AR63" s="2" t="s">
        <v>2</v>
      </c>
    </row>
    <row r="64" spans="2:44" ht="14.25" hidden="1">
      <c r="B64" s="28" t="s">
        <v>97</v>
      </c>
      <c r="C64" s="22" t="s">
        <v>106</v>
      </c>
      <c r="D64" s="26" t="s">
        <v>49</v>
      </c>
      <c r="F64" s="10">
        <f t="shared" si="8"/>
        <v>18</v>
      </c>
      <c r="G64" s="10">
        <f t="shared" si="9"/>
        <v>0</v>
      </c>
      <c r="H64" s="10">
        <f t="shared" si="10"/>
        <v>0</v>
      </c>
      <c r="I64" s="10">
        <f t="shared" si="11"/>
        <v>1</v>
      </c>
      <c r="J64" s="10">
        <f t="shared" si="12"/>
        <v>0</v>
      </c>
      <c r="K64" s="10">
        <f t="shared" si="13"/>
        <v>0</v>
      </c>
      <c r="L64" s="10">
        <f t="shared" si="14"/>
        <v>1</v>
      </c>
      <c r="M64" s="10">
        <f t="shared" si="15"/>
        <v>0</v>
      </c>
      <c r="O64" s="2" t="s">
        <v>2</v>
      </c>
      <c r="P64" s="2" t="s">
        <v>2</v>
      </c>
      <c r="Q64" s="2" t="s">
        <v>2</v>
      </c>
      <c r="R64" s="2"/>
      <c r="S64" s="2"/>
      <c r="T64" s="2"/>
      <c r="U64" s="2"/>
      <c r="V64" s="2" t="s">
        <v>2</v>
      </c>
      <c r="W64" s="2" t="s">
        <v>2</v>
      </c>
      <c r="X64" s="2" t="s">
        <v>2</v>
      </c>
      <c r="Y64" s="2" t="s">
        <v>2</v>
      </c>
      <c r="Z64" s="2" t="s">
        <v>2</v>
      </c>
      <c r="AA64" s="2"/>
      <c r="AB64" s="2"/>
      <c r="AC64" s="2" t="s">
        <v>2</v>
      </c>
      <c r="AD64" s="9" t="s">
        <v>8</v>
      </c>
      <c r="AE64" s="2" t="s">
        <v>5</v>
      </c>
      <c r="AF64" s="2" t="s">
        <v>2</v>
      </c>
      <c r="AG64" s="2" t="s">
        <v>2</v>
      </c>
      <c r="AH64" s="2"/>
      <c r="AI64" s="2"/>
      <c r="AJ64" s="2" t="s">
        <v>2</v>
      </c>
      <c r="AK64" s="2" t="s">
        <v>2</v>
      </c>
      <c r="AL64" s="2" t="s">
        <v>2</v>
      </c>
      <c r="AM64" s="2" t="s">
        <v>2</v>
      </c>
      <c r="AN64" s="2" t="s">
        <v>2</v>
      </c>
      <c r="AO64" s="2"/>
      <c r="AP64" s="2"/>
      <c r="AQ64" s="2" t="s">
        <v>2</v>
      </c>
      <c r="AR64" s="2" t="s">
        <v>2</v>
      </c>
    </row>
    <row r="65" spans="2:44" ht="14.25" hidden="1">
      <c r="B65" s="28" t="s">
        <v>97</v>
      </c>
      <c r="C65" s="22" t="s">
        <v>107</v>
      </c>
      <c r="D65" s="26" t="s">
        <v>49</v>
      </c>
      <c r="F65" s="10">
        <f t="shared" si="8"/>
        <v>18</v>
      </c>
      <c r="G65" s="10">
        <f t="shared" si="9"/>
        <v>0</v>
      </c>
      <c r="H65" s="10">
        <f t="shared" si="10"/>
        <v>0</v>
      </c>
      <c r="I65" s="10">
        <f t="shared" si="11"/>
        <v>2</v>
      </c>
      <c r="J65" s="10">
        <f t="shared" si="12"/>
        <v>0</v>
      </c>
      <c r="K65" s="10">
        <f t="shared" si="13"/>
        <v>0</v>
      </c>
      <c r="L65" s="10">
        <f t="shared" si="14"/>
        <v>0</v>
      </c>
      <c r="M65" s="10">
        <f t="shared" si="15"/>
        <v>0</v>
      </c>
      <c r="O65" s="2" t="s">
        <v>2</v>
      </c>
      <c r="P65" s="2" t="s">
        <v>2</v>
      </c>
      <c r="Q65" s="2" t="s">
        <v>2</v>
      </c>
      <c r="R65" s="2"/>
      <c r="S65" s="2"/>
      <c r="T65" s="2"/>
      <c r="U65" s="2"/>
      <c r="V65" s="2" t="s">
        <v>2</v>
      </c>
      <c r="W65" s="2" t="s">
        <v>2</v>
      </c>
      <c r="X65" s="2" t="s">
        <v>2</v>
      </c>
      <c r="Y65" s="2" t="s">
        <v>2</v>
      </c>
      <c r="Z65" s="2" t="s">
        <v>2</v>
      </c>
      <c r="AA65" s="2"/>
      <c r="AB65" s="2"/>
      <c r="AC65" s="2" t="s">
        <v>5</v>
      </c>
      <c r="AD65" s="2" t="s">
        <v>2</v>
      </c>
      <c r="AE65" s="2" t="s">
        <v>2</v>
      </c>
      <c r="AF65" s="2" t="s">
        <v>2</v>
      </c>
      <c r="AG65" s="2" t="s">
        <v>2</v>
      </c>
      <c r="AH65" s="2"/>
      <c r="AI65" s="2"/>
      <c r="AJ65" s="2" t="s">
        <v>2</v>
      </c>
      <c r="AK65" s="2" t="s">
        <v>2</v>
      </c>
      <c r="AL65" s="2" t="s">
        <v>2</v>
      </c>
      <c r="AM65" s="2" t="s">
        <v>5</v>
      </c>
      <c r="AN65" s="2" t="s">
        <v>2</v>
      </c>
      <c r="AO65" s="2"/>
      <c r="AP65" s="2"/>
      <c r="AQ65" s="2" t="s">
        <v>2</v>
      </c>
      <c r="AR65" s="2" t="s">
        <v>2</v>
      </c>
    </row>
    <row r="66" spans="2:44" ht="14.25" hidden="1">
      <c r="B66" s="28" t="s">
        <v>97</v>
      </c>
      <c r="C66" s="22" t="s">
        <v>108</v>
      </c>
      <c r="D66" s="26" t="s">
        <v>49</v>
      </c>
      <c r="F66" s="10">
        <f t="shared" si="8"/>
        <v>17</v>
      </c>
      <c r="G66" s="10">
        <f t="shared" si="9"/>
        <v>0</v>
      </c>
      <c r="H66" s="10">
        <f t="shared" si="10"/>
        <v>0</v>
      </c>
      <c r="I66" s="10">
        <f t="shared" si="11"/>
        <v>0</v>
      </c>
      <c r="J66" s="10">
        <f t="shared" si="12"/>
        <v>0</v>
      </c>
      <c r="K66" s="10">
        <f t="shared" si="13"/>
        <v>0</v>
      </c>
      <c r="L66" s="10">
        <f t="shared" si="14"/>
        <v>0</v>
      </c>
      <c r="M66" s="10">
        <f t="shared" si="15"/>
        <v>0</v>
      </c>
      <c r="O66" s="2" t="s">
        <v>2</v>
      </c>
      <c r="P66" s="2" t="s">
        <v>2</v>
      </c>
      <c r="Q66" s="2" t="s">
        <v>2</v>
      </c>
      <c r="R66" s="2"/>
      <c r="S66" s="2"/>
      <c r="T66" s="2"/>
      <c r="U66" s="2"/>
      <c r="V66" s="2" t="s">
        <v>2</v>
      </c>
      <c r="W66" s="2" t="s">
        <v>2</v>
      </c>
      <c r="X66" s="2" t="s">
        <v>2</v>
      </c>
      <c r="Y66" s="2" t="s">
        <v>2</v>
      </c>
      <c r="Z66" s="2" t="s">
        <v>2</v>
      </c>
      <c r="AA66" s="2"/>
      <c r="AB66" s="2"/>
      <c r="AC66" s="2" t="s">
        <v>2</v>
      </c>
      <c r="AD66" s="2" t="s">
        <v>2</v>
      </c>
      <c r="AE66" s="2" t="s">
        <v>2</v>
      </c>
      <c r="AF66" s="2" t="s">
        <v>2</v>
      </c>
      <c r="AG66" s="2" t="s">
        <v>2</v>
      </c>
      <c r="AH66" s="2"/>
      <c r="AI66" s="2"/>
      <c r="AJ66" s="52"/>
      <c r="AK66" s="52"/>
      <c r="AL66" s="52"/>
      <c r="AM66" s="2" t="s">
        <v>2</v>
      </c>
      <c r="AN66" s="2" t="s">
        <v>2</v>
      </c>
      <c r="AO66" s="2"/>
      <c r="AP66" s="2"/>
      <c r="AQ66" s="2" t="s">
        <v>2</v>
      </c>
      <c r="AR66" s="2" t="s">
        <v>2</v>
      </c>
    </row>
    <row r="67" spans="2:44" ht="14.25" hidden="1">
      <c r="B67" s="28" t="s">
        <v>97</v>
      </c>
      <c r="C67" s="22" t="s">
        <v>109</v>
      </c>
      <c r="D67" s="26" t="s">
        <v>49</v>
      </c>
      <c r="F67" s="10">
        <f t="shared" si="8"/>
        <v>20</v>
      </c>
      <c r="G67" s="10">
        <f t="shared" si="9"/>
        <v>0</v>
      </c>
      <c r="H67" s="10">
        <f t="shared" si="10"/>
        <v>0</v>
      </c>
      <c r="I67" s="10">
        <f t="shared" si="11"/>
        <v>0</v>
      </c>
      <c r="J67" s="10">
        <f t="shared" si="12"/>
        <v>0</v>
      </c>
      <c r="K67" s="10">
        <f t="shared" si="13"/>
        <v>0</v>
      </c>
      <c r="L67" s="10">
        <f t="shared" si="14"/>
        <v>0</v>
      </c>
      <c r="M67" s="10">
        <f t="shared" si="15"/>
        <v>0</v>
      </c>
      <c r="O67" s="2" t="s">
        <v>2</v>
      </c>
      <c r="P67" s="2" t="s">
        <v>2</v>
      </c>
      <c r="Q67" s="2" t="s">
        <v>2</v>
      </c>
      <c r="R67" s="2"/>
      <c r="S67" s="2"/>
      <c r="T67" s="2"/>
      <c r="U67" s="2"/>
      <c r="V67" s="2" t="s">
        <v>2</v>
      </c>
      <c r="W67" s="2" t="s">
        <v>2</v>
      </c>
      <c r="X67" s="2" t="s">
        <v>2</v>
      </c>
      <c r="Y67" s="2" t="s">
        <v>2</v>
      </c>
      <c r="Z67" s="2" t="s">
        <v>2</v>
      </c>
      <c r="AA67" s="2"/>
      <c r="AB67" s="2"/>
      <c r="AC67" s="2" t="s">
        <v>2</v>
      </c>
      <c r="AD67" s="2" t="s">
        <v>2</v>
      </c>
      <c r="AE67" s="2" t="s">
        <v>2</v>
      </c>
      <c r="AF67" s="2" t="s">
        <v>2</v>
      </c>
      <c r="AG67" s="2" t="s">
        <v>2</v>
      </c>
      <c r="AH67" s="2"/>
      <c r="AI67" s="2"/>
      <c r="AJ67" s="2" t="s">
        <v>2</v>
      </c>
      <c r="AK67" s="2" t="s">
        <v>2</v>
      </c>
      <c r="AL67" s="2" t="s">
        <v>2</v>
      </c>
      <c r="AM67" s="2" t="s">
        <v>2</v>
      </c>
      <c r="AN67" s="2" t="s">
        <v>2</v>
      </c>
      <c r="AO67" s="2"/>
      <c r="AP67" s="2"/>
      <c r="AQ67" s="2" t="s">
        <v>2</v>
      </c>
      <c r="AR67" s="2" t="s">
        <v>2</v>
      </c>
    </row>
    <row r="68" spans="2:44" ht="14.25" hidden="1">
      <c r="B68" s="28" t="s">
        <v>97</v>
      </c>
      <c r="C68" s="22" t="s">
        <v>110</v>
      </c>
      <c r="D68" s="26" t="s">
        <v>72</v>
      </c>
      <c r="F68" s="10">
        <f t="shared" si="8"/>
        <v>20</v>
      </c>
      <c r="G68" s="10">
        <f t="shared" si="9"/>
        <v>0</v>
      </c>
      <c r="H68" s="10">
        <f t="shared" si="10"/>
        <v>0</v>
      </c>
      <c r="I68" s="10">
        <f t="shared" si="11"/>
        <v>0</v>
      </c>
      <c r="J68" s="10">
        <f t="shared" si="12"/>
        <v>0</v>
      </c>
      <c r="K68" s="10">
        <f t="shared" si="13"/>
        <v>0</v>
      </c>
      <c r="L68" s="10">
        <f t="shared" si="14"/>
        <v>0</v>
      </c>
      <c r="M68" s="10">
        <f t="shared" si="15"/>
        <v>0</v>
      </c>
      <c r="O68" s="2" t="s">
        <v>2</v>
      </c>
      <c r="P68" s="2" t="s">
        <v>2</v>
      </c>
      <c r="Q68" s="2" t="s">
        <v>2</v>
      </c>
      <c r="R68" s="2"/>
      <c r="S68" s="2"/>
      <c r="T68" s="2"/>
      <c r="U68" s="2"/>
      <c r="V68" s="2" t="s">
        <v>2</v>
      </c>
      <c r="W68" s="2" t="s">
        <v>2</v>
      </c>
      <c r="X68" s="2" t="s">
        <v>2</v>
      </c>
      <c r="Y68" s="2" t="s">
        <v>2</v>
      </c>
      <c r="Z68" s="2" t="s">
        <v>2</v>
      </c>
      <c r="AA68" s="2"/>
      <c r="AB68" s="2"/>
      <c r="AC68" s="2" t="s">
        <v>2</v>
      </c>
      <c r="AD68" s="2" t="s">
        <v>2</v>
      </c>
      <c r="AE68" s="2" t="s">
        <v>2</v>
      </c>
      <c r="AF68" s="2" t="s">
        <v>2</v>
      </c>
      <c r="AG68" s="2" t="s">
        <v>2</v>
      </c>
      <c r="AH68" s="2"/>
      <c r="AI68" s="2"/>
      <c r="AJ68" s="2" t="s">
        <v>2</v>
      </c>
      <c r="AK68" s="2" t="s">
        <v>2</v>
      </c>
      <c r="AL68" s="2" t="s">
        <v>2</v>
      </c>
      <c r="AM68" s="2" t="s">
        <v>2</v>
      </c>
      <c r="AN68" s="2" t="s">
        <v>2</v>
      </c>
      <c r="AO68" s="2"/>
      <c r="AP68" s="2"/>
      <c r="AQ68" s="2" t="s">
        <v>2</v>
      </c>
      <c r="AR68" s="2" t="s">
        <v>2</v>
      </c>
    </row>
    <row r="69" spans="2:44" ht="14.25" hidden="1">
      <c r="B69" s="28" t="s">
        <v>97</v>
      </c>
      <c r="C69" s="22" t="s">
        <v>111</v>
      </c>
      <c r="D69" s="26" t="s">
        <v>72</v>
      </c>
      <c r="F69" s="10">
        <f t="shared" si="8"/>
        <v>20</v>
      </c>
      <c r="G69" s="10">
        <f t="shared" si="9"/>
        <v>0</v>
      </c>
      <c r="H69" s="10">
        <f t="shared" si="10"/>
        <v>0</v>
      </c>
      <c r="I69" s="10">
        <f t="shared" si="11"/>
        <v>0</v>
      </c>
      <c r="J69" s="10">
        <f t="shared" si="12"/>
        <v>0</v>
      </c>
      <c r="K69" s="10">
        <f t="shared" si="13"/>
        <v>0</v>
      </c>
      <c r="L69" s="10">
        <f t="shared" si="14"/>
        <v>0</v>
      </c>
      <c r="M69" s="10">
        <f t="shared" si="15"/>
        <v>0</v>
      </c>
      <c r="O69" s="2" t="s">
        <v>2</v>
      </c>
      <c r="P69" s="2" t="s">
        <v>2</v>
      </c>
      <c r="Q69" s="2" t="s">
        <v>2</v>
      </c>
      <c r="R69" s="2"/>
      <c r="S69" s="2"/>
      <c r="T69" s="2"/>
      <c r="U69" s="2"/>
      <c r="V69" s="2" t="s">
        <v>2</v>
      </c>
      <c r="W69" s="2" t="s">
        <v>2</v>
      </c>
      <c r="X69" s="2" t="s">
        <v>2</v>
      </c>
      <c r="Y69" s="2" t="s">
        <v>2</v>
      </c>
      <c r="Z69" s="2" t="s">
        <v>2</v>
      </c>
      <c r="AA69" s="2"/>
      <c r="AB69" s="2"/>
      <c r="AC69" s="2" t="s">
        <v>2</v>
      </c>
      <c r="AD69" s="2" t="s">
        <v>2</v>
      </c>
      <c r="AE69" s="2" t="s">
        <v>2</v>
      </c>
      <c r="AF69" s="2" t="s">
        <v>2</v>
      </c>
      <c r="AG69" s="2" t="s">
        <v>2</v>
      </c>
      <c r="AH69" s="2"/>
      <c r="AI69" s="2"/>
      <c r="AJ69" s="2" t="s">
        <v>2</v>
      </c>
      <c r="AK69" s="2" t="s">
        <v>2</v>
      </c>
      <c r="AL69" s="2" t="s">
        <v>2</v>
      </c>
      <c r="AM69" s="2" t="s">
        <v>2</v>
      </c>
      <c r="AN69" s="2" t="s">
        <v>2</v>
      </c>
      <c r="AO69" s="2"/>
      <c r="AP69" s="2"/>
      <c r="AQ69" s="2" t="s">
        <v>2</v>
      </c>
      <c r="AR69" s="2" t="s">
        <v>2</v>
      </c>
    </row>
    <row r="70" spans="2:44" ht="14.25" hidden="1">
      <c r="B70" s="28" t="s">
        <v>97</v>
      </c>
      <c r="C70" s="22" t="s">
        <v>112</v>
      </c>
      <c r="D70" s="26" t="s">
        <v>47</v>
      </c>
      <c r="F70" s="10">
        <f t="shared" si="8"/>
        <v>0</v>
      </c>
      <c r="G70" s="10">
        <f t="shared" si="9"/>
        <v>0</v>
      </c>
      <c r="H70" s="10">
        <f t="shared" si="10"/>
        <v>0</v>
      </c>
      <c r="I70" s="10">
        <f t="shared" si="11"/>
        <v>0</v>
      </c>
      <c r="J70" s="10">
        <f t="shared" si="12"/>
        <v>20</v>
      </c>
      <c r="K70" s="10">
        <f t="shared" si="13"/>
        <v>0</v>
      </c>
      <c r="L70" s="10">
        <f t="shared" si="14"/>
        <v>0</v>
      </c>
      <c r="M70" s="10">
        <f t="shared" si="15"/>
        <v>0</v>
      </c>
      <c r="O70" s="2" t="s">
        <v>6</v>
      </c>
      <c r="P70" s="2" t="s">
        <v>6</v>
      </c>
      <c r="Q70" s="2" t="s">
        <v>6</v>
      </c>
      <c r="R70" s="2"/>
      <c r="S70" s="2"/>
      <c r="T70" s="2"/>
      <c r="U70" s="2"/>
      <c r="V70" s="2" t="s">
        <v>6</v>
      </c>
      <c r="W70" s="2" t="s">
        <v>6</v>
      </c>
      <c r="X70" s="2" t="s">
        <v>6</v>
      </c>
      <c r="Y70" s="2" t="s">
        <v>6</v>
      </c>
      <c r="Z70" s="2" t="s">
        <v>6</v>
      </c>
      <c r="AA70" s="2"/>
      <c r="AB70" s="2"/>
      <c r="AC70" s="2" t="s">
        <v>6</v>
      </c>
      <c r="AD70" s="2" t="s">
        <v>6</v>
      </c>
      <c r="AE70" s="2" t="s">
        <v>6</v>
      </c>
      <c r="AF70" s="2" t="s">
        <v>6</v>
      </c>
      <c r="AG70" s="2" t="s">
        <v>6</v>
      </c>
      <c r="AH70" s="2"/>
      <c r="AI70" s="2"/>
      <c r="AJ70" s="2" t="s">
        <v>6</v>
      </c>
      <c r="AK70" s="2" t="s">
        <v>6</v>
      </c>
      <c r="AL70" s="2" t="s">
        <v>6</v>
      </c>
      <c r="AM70" s="2" t="s">
        <v>6</v>
      </c>
      <c r="AN70" s="2" t="s">
        <v>6</v>
      </c>
      <c r="AO70" s="2"/>
      <c r="AP70" s="2"/>
      <c r="AQ70" s="2" t="s">
        <v>6</v>
      </c>
      <c r="AR70" s="2" t="s">
        <v>6</v>
      </c>
    </row>
    <row r="71" spans="2:44" ht="14.25" hidden="1">
      <c r="B71" s="28" t="s">
        <v>65</v>
      </c>
      <c r="C71" s="22" t="s">
        <v>113</v>
      </c>
      <c r="D71" s="26" t="s">
        <v>49</v>
      </c>
      <c r="F71" s="10">
        <f t="shared" si="8"/>
        <v>15</v>
      </c>
      <c r="G71" s="10">
        <f t="shared" si="9"/>
        <v>0</v>
      </c>
      <c r="H71" s="10">
        <f t="shared" si="10"/>
        <v>0</v>
      </c>
      <c r="I71" s="10">
        <f t="shared" si="11"/>
        <v>5</v>
      </c>
      <c r="J71" s="10">
        <f t="shared" si="12"/>
        <v>0</v>
      </c>
      <c r="K71" s="10">
        <f t="shared" si="13"/>
        <v>0</v>
      </c>
      <c r="L71" s="10">
        <f t="shared" si="14"/>
        <v>0</v>
      </c>
      <c r="M71" s="10">
        <f t="shared" si="15"/>
        <v>0</v>
      </c>
      <c r="O71" s="2" t="s">
        <v>2</v>
      </c>
      <c r="P71" s="2" t="s">
        <v>2</v>
      </c>
      <c r="Q71" s="2" t="s">
        <v>2</v>
      </c>
      <c r="R71" s="2"/>
      <c r="S71" s="2"/>
      <c r="T71" s="2"/>
      <c r="U71" s="2"/>
      <c r="V71" s="2" t="s">
        <v>2</v>
      </c>
      <c r="W71" s="2" t="s">
        <v>2</v>
      </c>
      <c r="X71" s="2" t="s">
        <v>2</v>
      </c>
      <c r="Y71" s="2" t="s">
        <v>2</v>
      </c>
      <c r="Z71" s="2" t="s">
        <v>2</v>
      </c>
      <c r="AA71" s="2"/>
      <c r="AB71" s="2"/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</v>
      </c>
      <c r="AH71" s="2"/>
      <c r="AI71" s="2"/>
      <c r="AJ71" s="2" t="s">
        <v>2</v>
      </c>
      <c r="AK71" s="2" t="s">
        <v>2</v>
      </c>
      <c r="AL71" s="2" t="s">
        <v>2</v>
      </c>
      <c r="AM71" s="2" t="s">
        <v>2</v>
      </c>
      <c r="AN71" s="2" t="s">
        <v>2</v>
      </c>
      <c r="AO71" s="2"/>
      <c r="AP71" s="2"/>
      <c r="AQ71" s="2" t="s">
        <v>2</v>
      </c>
      <c r="AR71" s="2" t="s">
        <v>2</v>
      </c>
    </row>
    <row r="72" spans="2:44" ht="14.25" hidden="1">
      <c r="B72" s="28" t="s">
        <v>97</v>
      </c>
      <c r="C72" s="22" t="s">
        <v>114</v>
      </c>
      <c r="D72" s="26" t="s">
        <v>47</v>
      </c>
      <c r="F72" s="10">
        <f t="shared" si="8"/>
        <v>14</v>
      </c>
      <c r="G72" s="10">
        <f t="shared" si="9"/>
        <v>0</v>
      </c>
      <c r="H72" s="10">
        <f t="shared" si="10"/>
        <v>0</v>
      </c>
      <c r="I72" s="10">
        <f t="shared" si="11"/>
        <v>0</v>
      </c>
      <c r="J72" s="10">
        <f t="shared" si="12"/>
        <v>0</v>
      </c>
      <c r="K72" s="10">
        <f t="shared" si="13"/>
        <v>0</v>
      </c>
      <c r="L72" s="10">
        <f t="shared" si="14"/>
        <v>0</v>
      </c>
      <c r="M72" s="10">
        <f t="shared" si="15"/>
        <v>0</v>
      </c>
      <c r="O72" s="52"/>
      <c r="P72" s="52"/>
      <c r="Q72" s="52"/>
      <c r="R72" s="2"/>
      <c r="S72" s="2"/>
      <c r="T72" s="2"/>
      <c r="U72" s="2"/>
      <c r="V72" s="52"/>
      <c r="W72" s="52"/>
      <c r="X72" s="52"/>
      <c r="Y72" s="2" t="s">
        <v>2</v>
      </c>
      <c r="Z72" s="2" t="s">
        <v>2</v>
      </c>
      <c r="AA72" s="2"/>
      <c r="AB72" s="2"/>
      <c r="AC72" s="2" t="s">
        <v>2</v>
      </c>
      <c r="AD72" s="2" t="s">
        <v>2</v>
      </c>
      <c r="AE72" s="2" t="s">
        <v>2</v>
      </c>
      <c r="AF72" s="2" t="s">
        <v>2</v>
      </c>
      <c r="AG72" s="2" t="s">
        <v>2</v>
      </c>
      <c r="AH72" s="2"/>
      <c r="AI72" s="2"/>
      <c r="AJ72" s="2" t="s">
        <v>2</v>
      </c>
      <c r="AK72" s="2" t="s">
        <v>2</v>
      </c>
      <c r="AL72" s="2" t="s">
        <v>2</v>
      </c>
      <c r="AM72" s="2" t="s">
        <v>2</v>
      </c>
      <c r="AN72" s="2" t="s">
        <v>2</v>
      </c>
      <c r="AO72" s="2"/>
      <c r="AP72" s="2"/>
      <c r="AQ72" s="2" t="s">
        <v>2</v>
      </c>
      <c r="AR72" s="2" t="s">
        <v>2</v>
      </c>
    </row>
    <row r="73" spans="2:44" ht="14.25" hidden="1">
      <c r="B73" s="28" t="s">
        <v>97</v>
      </c>
      <c r="C73" s="22" t="s">
        <v>115</v>
      </c>
      <c r="D73" s="26" t="s">
        <v>47</v>
      </c>
      <c r="F73" s="10">
        <f t="shared" si="8"/>
        <v>18</v>
      </c>
      <c r="G73" s="10">
        <f t="shared" si="9"/>
        <v>0</v>
      </c>
      <c r="H73" s="10">
        <f t="shared" si="10"/>
        <v>0</v>
      </c>
      <c r="I73" s="10">
        <f t="shared" si="11"/>
        <v>2</v>
      </c>
      <c r="J73" s="10">
        <f t="shared" si="12"/>
        <v>0</v>
      </c>
      <c r="K73" s="10">
        <f t="shared" si="13"/>
        <v>0</v>
      </c>
      <c r="L73" s="10">
        <f t="shared" si="14"/>
        <v>0</v>
      </c>
      <c r="M73" s="10">
        <f t="shared" si="15"/>
        <v>0</v>
      </c>
      <c r="O73" s="2" t="s">
        <v>2</v>
      </c>
      <c r="P73" s="2" t="s">
        <v>2</v>
      </c>
      <c r="Q73" s="2" t="s">
        <v>2</v>
      </c>
      <c r="R73" s="2"/>
      <c r="S73" s="2"/>
      <c r="T73" s="2"/>
      <c r="U73" s="2"/>
      <c r="V73" s="2" t="s">
        <v>2</v>
      </c>
      <c r="W73" s="2" t="s">
        <v>2</v>
      </c>
      <c r="X73" s="2" t="s">
        <v>5</v>
      </c>
      <c r="Y73" s="2" t="s">
        <v>2</v>
      </c>
      <c r="Z73" s="2" t="s">
        <v>2</v>
      </c>
      <c r="AA73" s="2"/>
      <c r="AB73" s="2"/>
      <c r="AC73" s="2" t="s">
        <v>2</v>
      </c>
      <c r="AD73" s="2" t="s">
        <v>2</v>
      </c>
      <c r="AE73" s="2" t="s">
        <v>2</v>
      </c>
      <c r="AF73" s="2" t="s">
        <v>2</v>
      </c>
      <c r="AG73" s="2" t="s">
        <v>2</v>
      </c>
      <c r="AH73" s="2"/>
      <c r="AI73" s="2"/>
      <c r="AJ73" s="2" t="s">
        <v>2</v>
      </c>
      <c r="AK73" s="2" t="s">
        <v>2</v>
      </c>
      <c r="AL73" s="2" t="s">
        <v>2</v>
      </c>
      <c r="AM73" s="2" t="s">
        <v>2</v>
      </c>
      <c r="AN73" s="2" t="s">
        <v>5</v>
      </c>
      <c r="AO73" s="2"/>
      <c r="AP73" s="2"/>
      <c r="AQ73" s="2" t="s">
        <v>2</v>
      </c>
      <c r="AR73" s="2" t="s">
        <v>2</v>
      </c>
    </row>
    <row r="74" spans="2:44" ht="14.25" hidden="1">
      <c r="B74" s="28" t="s">
        <v>97</v>
      </c>
      <c r="C74" s="22" t="s">
        <v>116</v>
      </c>
      <c r="D74" s="26" t="s">
        <v>47</v>
      </c>
      <c r="F74" s="10">
        <f t="shared" si="8"/>
        <v>20</v>
      </c>
      <c r="G74" s="10">
        <f t="shared" si="9"/>
        <v>0</v>
      </c>
      <c r="H74" s="10">
        <f t="shared" si="10"/>
        <v>0</v>
      </c>
      <c r="I74" s="10">
        <f t="shared" si="11"/>
        <v>0</v>
      </c>
      <c r="J74" s="10">
        <f t="shared" si="12"/>
        <v>0</v>
      </c>
      <c r="K74" s="10">
        <f t="shared" si="13"/>
        <v>0</v>
      </c>
      <c r="L74" s="10">
        <f t="shared" si="14"/>
        <v>0</v>
      </c>
      <c r="M74" s="10">
        <f t="shared" si="15"/>
        <v>0</v>
      </c>
      <c r="O74" s="2" t="s">
        <v>2</v>
      </c>
      <c r="P74" s="2" t="s">
        <v>2</v>
      </c>
      <c r="Q74" s="2" t="s">
        <v>2</v>
      </c>
      <c r="R74" s="2"/>
      <c r="S74" s="2"/>
      <c r="T74" s="2"/>
      <c r="U74" s="2"/>
      <c r="V74" s="2" t="s">
        <v>2</v>
      </c>
      <c r="W74" s="2" t="s">
        <v>2</v>
      </c>
      <c r="X74" s="2" t="s">
        <v>2</v>
      </c>
      <c r="Y74" s="2" t="s">
        <v>2</v>
      </c>
      <c r="Z74" s="2" t="s">
        <v>2</v>
      </c>
      <c r="AA74" s="2"/>
      <c r="AB74" s="2"/>
      <c r="AC74" s="2" t="s">
        <v>2</v>
      </c>
      <c r="AD74" s="2" t="s">
        <v>2</v>
      </c>
      <c r="AE74" s="2" t="s">
        <v>2</v>
      </c>
      <c r="AF74" s="2" t="s">
        <v>2</v>
      </c>
      <c r="AG74" s="2" t="s">
        <v>2</v>
      </c>
      <c r="AH74" s="2"/>
      <c r="AI74" s="2"/>
      <c r="AJ74" s="2" t="s">
        <v>2</v>
      </c>
      <c r="AK74" s="2" t="s">
        <v>2</v>
      </c>
      <c r="AL74" s="2" t="s">
        <v>2</v>
      </c>
      <c r="AM74" s="2" t="s">
        <v>2</v>
      </c>
      <c r="AN74" s="2" t="s">
        <v>2</v>
      </c>
      <c r="AO74" s="2"/>
      <c r="AP74" s="2"/>
      <c r="AQ74" s="2" t="s">
        <v>2</v>
      </c>
      <c r="AR74" s="2" t="s">
        <v>2</v>
      </c>
    </row>
    <row r="75" spans="2:44" ht="14.25" hidden="1">
      <c r="B75" s="28" t="s">
        <v>97</v>
      </c>
      <c r="C75" s="22" t="s">
        <v>117</v>
      </c>
      <c r="D75" s="26" t="s">
        <v>47</v>
      </c>
      <c r="F75" s="10">
        <f t="shared" si="8"/>
        <v>20</v>
      </c>
      <c r="G75" s="10">
        <f t="shared" si="9"/>
        <v>0</v>
      </c>
      <c r="H75" s="10">
        <f t="shared" si="10"/>
        <v>0</v>
      </c>
      <c r="I75" s="10">
        <f t="shared" si="11"/>
        <v>0</v>
      </c>
      <c r="J75" s="10">
        <f t="shared" si="12"/>
        <v>0</v>
      </c>
      <c r="K75" s="10">
        <f t="shared" si="13"/>
        <v>0</v>
      </c>
      <c r="L75" s="10">
        <f t="shared" si="14"/>
        <v>0</v>
      </c>
      <c r="M75" s="10">
        <f t="shared" si="15"/>
        <v>0</v>
      </c>
      <c r="O75" s="2" t="s">
        <v>2</v>
      </c>
      <c r="P75" s="2" t="s">
        <v>2</v>
      </c>
      <c r="Q75" s="2" t="s">
        <v>2</v>
      </c>
      <c r="R75" s="2"/>
      <c r="S75" s="2"/>
      <c r="T75" s="2"/>
      <c r="U75" s="2"/>
      <c r="V75" s="2" t="s">
        <v>2</v>
      </c>
      <c r="W75" s="2" t="s">
        <v>2</v>
      </c>
      <c r="X75" s="2" t="s">
        <v>2</v>
      </c>
      <c r="Y75" s="2" t="s">
        <v>2</v>
      </c>
      <c r="Z75" s="2" t="s">
        <v>2</v>
      </c>
      <c r="AA75" s="2"/>
      <c r="AB75" s="2"/>
      <c r="AC75" s="2" t="s">
        <v>2</v>
      </c>
      <c r="AD75" s="2" t="s">
        <v>2</v>
      </c>
      <c r="AE75" s="2" t="s">
        <v>2</v>
      </c>
      <c r="AF75" s="2" t="s">
        <v>2</v>
      </c>
      <c r="AG75" s="2" t="s">
        <v>2</v>
      </c>
      <c r="AH75" s="2"/>
      <c r="AI75" s="2"/>
      <c r="AJ75" s="2" t="s">
        <v>2</v>
      </c>
      <c r="AK75" s="2" t="s">
        <v>2</v>
      </c>
      <c r="AL75" s="2" t="s">
        <v>2</v>
      </c>
      <c r="AM75" s="2" t="s">
        <v>2</v>
      </c>
      <c r="AN75" s="2" t="s">
        <v>2</v>
      </c>
      <c r="AO75" s="2"/>
      <c r="AP75" s="2"/>
      <c r="AQ75" s="2" t="s">
        <v>2</v>
      </c>
      <c r="AR75" s="2" t="s">
        <v>2</v>
      </c>
    </row>
    <row r="76" spans="2:44" ht="14.25" hidden="1">
      <c r="B76" s="28" t="s">
        <v>97</v>
      </c>
      <c r="C76" s="22" t="s">
        <v>118</v>
      </c>
      <c r="D76" s="26" t="s">
        <v>47</v>
      </c>
      <c r="F76" s="10">
        <f t="shared" si="8"/>
        <v>18</v>
      </c>
      <c r="G76" s="10">
        <f t="shared" si="9"/>
        <v>0</v>
      </c>
      <c r="H76" s="10">
        <f t="shared" si="10"/>
        <v>0</v>
      </c>
      <c r="I76" s="10">
        <f t="shared" si="11"/>
        <v>2</v>
      </c>
      <c r="J76" s="10">
        <f t="shared" si="12"/>
        <v>0</v>
      </c>
      <c r="K76" s="10">
        <f t="shared" si="13"/>
        <v>0</v>
      </c>
      <c r="L76" s="10">
        <f t="shared" si="14"/>
        <v>0</v>
      </c>
      <c r="M76" s="10">
        <f t="shared" si="15"/>
        <v>0</v>
      </c>
      <c r="O76" s="2" t="s">
        <v>2</v>
      </c>
      <c r="P76" s="2" t="s">
        <v>2</v>
      </c>
      <c r="Q76" s="2" t="s">
        <v>2</v>
      </c>
      <c r="R76" s="2"/>
      <c r="S76" s="2"/>
      <c r="T76" s="2"/>
      <c r="U76" s="2"/>
      <c r="V76" s="2" t="s">
        <v>2</v>
      </c>
      <c r="W76" s="2" t="s">
        <v>2</v>
      </c>
      <c r="X76" s="2" t="s">
        <v>2</v>
      </c>
      <c r="Y76" s="2" t="s">
        <v>2</v>
      </c>
      <c r="Z76" s="2" t="s">
        <v>2</v>
      </c>
      <c r="AA76" s="2"/>
      <c r="AB76" s="2"/>
      <c r="AC76" s="2" t="s">
        <v>2</v>
      </c>
      <c r="AD76" s="2" t="s">
        <v>2</v>
      </c>
      <c r="AE76" s="2" t="s">
        <v>2</v>
      </c>
      <c r="AF76" s="2" t="s">
        <v>2</v>
      </c>
      <c r="AG76" s="2" t="s">
        <v>2</v>
      </c>
      <c r="AH76" s="2"/>
      <c r="AI76" s="2"/>
      <c r="AJ76" s="2" t="s">
        <v>2</v>
      </c>
      <c r="AK76" s="2" t="s">
        <v>2</v>
      </c>
      <c r="AL76" s="2" t="s">
        <v>2</v>
      </c>
      <c r="AM76" s="2" t="s">
        <v>5</v>
      </c>
      <c r="AN76" s="2" t="s">
        <v>5</v>
      </c>
      <c r="AO76" s="2"/>
      <c r="AP76" s="2"/>
      <c r="AQ76" s="2" t="s">
        <v>2</v>
      </c>
      <c r="AR76" s="2" t="s">
        <v>2</v>
      </c>
    </row>
    <row r="77" spans="2:44" ht="14.25" hidden="1">
      <c r="B77" s="28" t="s">
        <v>97</v>
      </c>
      <c r="C77" s="22" t="s">
        <v>119</v>
      </c>
      <c r="D77" s="26" t="s">
        <v>36</v>
      </c>
      <c r="F77" s="10">
        <f t="shared" si="8"/>
        <v>19</v>
      </c>
      <c r="G77" s="10">
        <f t="shared" si="9"/>
        <v>0</v>
      </c>
      <c r="H77" s="10">
        <f t="shared" si="10"/>
        <v>0</v>
      </c>
      <c r="I77" s="10">
        <f t="shared" si="11"/>
        <v>1</v>
      </c>
      <c r="J77" s="10">
        <f t="shared" si="12"/>
        <v>0</v>
      </c>
      <c r="K77" s="10">
        <f t="shared" si="13"/>
        <v>0</v>
      </c>
      <c r="L77" s="10">
        <f t="shared" si="14"/>
        <v>0</v>
      </c>
      <c r="M77" s="10">
        <f t="shared" si="15"/>
        <v>0</v>
      </c>
      <c r="O77" s="2" t="s">
        <v>2</v>
      </c>
      <c r="P77" s="2" t="s">
        <v>2</v>
      </c>
      <c r="Q77" s="2" t="s">
        <v>2</v>
      </c>
      <c r="R77" s="2"/>
      <c r="S77" s="2"/>
      <c r="T77" s="2"/>
      <c r="U77" s="2"/>
      <c r="V77" s="2" t="s">
        <v>2</v>
      </c>
      <c r="W77" s="2" t="s">
        <v>2</v>
      </c>
      <c r="X77" s="2" t="s">
        <v>2</v>
      </c>
      <c r="Y77" s="2" t="s">
        <v>2</v>
      </c>
      <c r="Z77" s="2" t="s">
        <v>2</v>
      </c>
      <c r="AA77" s="2"/>
      <c r="AB77" s="2"/>
      <c r="AC77" s="2" t="s">
        <v>2</v>
      </c>
      <c r="AD77" s="2" t="s">
        <v>2</v>
      </c>
      <c r="AE77" s="2" t="s">
        <v>5</v>
      </c>
      <c r="AF77" s="2" t="s">
        <v>2</v>
      </c>
      <c r="AG77" s="2" t="s">
        <v>2</v>
      </c>
      <c r="AH77" s="2"/>
      <c r="AI77" s="2"/>
      <c r="AJ77" s="2" t="s">
        <v>2</v>
      </c>
      <c r="AK77" s="2" t="s">
        <v>2</v>
      </c>
      <c r="AL77" s="2" t="s">
        <v>2</v>
      </c>
      <c r="AM77" s="2" t="s">
        <v>2</v>
      </c>
      <c r="AN77" s="2" t="s">
        <v>2</v>
      </c>
      <c r="AO77" s="2"/>
      <c r="AP77" s="2"/>
      <c r="AQ77" s="2" t="s">
        <v>2</v>
      </c>
      <c r="AR77" s="2" t="s">
        <v>2</v>
      </c>
    </row>
    <row r="78" spans="2:44" ht="14.25" hidden="1">
      <c r="B78" s="28" t="s">
        <v>97</v>
      </c>
      <c r="C78" s="22" t="s">
        <v>120</v>
      </c>
      <c r="D78" s="26" t="s">
        <v>36</v>
      </c>
      <c r="F78" s="10">
        <f t="shared" si="8"/>
        <v>18</v>
      </c>
      <c r="G78" s="10">
        <f t="shared" si="9"/>
        <v>0</v>
      </c>
      <c r="H78" s="10">
        <f t="shared" si="10"/>
        <v>0</v>
      </c>
      <c r="I78" s="10">
        <f t="shared" si="11"/>
        <v>1</v>
      </c>
      <c r="J78" s="10">
        <f t="shared" si="12"/>
        <v>0</v>
      </c>
      <c r="K78" s="10">
        <f t="shared" si="13"/>
        <v>0</v>
      </c>
      <c r="L78" s="10">
        <f t="shared" si="14"/>
        <v>1</v>
      </c>
      <c r="M78" s="10">
        <f t="shared" si="15"/>
        <v>0</v>
      </c>
      <c r="O78" s="2" t="s">
        <v>2</v>
      </c>
      <c r="P78" s="2" t="s">
        <v>2</v>
      </c>
      <c r="Q78" s="2" t="s">
        <v>2</v>
      </c>
      <c r="R78" s="2"/>
      <c r="S78" s="2"/>
      <c r="T78" s="2"/>
      <c r="U78" s="2"/>
      <c r="V78" s="2" t="s">
        <v>2</v>
      </c>
      <c r="W78" s="2" t="s">
        <v>2</v>
      </c>
      <c r="X78" s="2" t="s">
        <v>2</v>
      </c>
      <c r="Y78" s="2" t="s">
        <v>2</v>
      </c>
      <c r="Z78" s="2" t="s">
        <v>2</v>
      </c>
      <c r="AA78" s="2"/>
      <c r="AB78" s="2"/>
      <c r="AC78" s="2" t="s">
        <v>2</v>
      </c>
      <c r="AD78" s="9" t="s">
        <v>8</v>
      </c>
      <c r="AE78" s="2" t="s">
        <v>5</v>
      </c>
      <c r="AF78" s="2" t="s">
        <v>2</v>
      </c>
      <c r="AG78" s="2" t="s">
        <v>2</v>
      </c>
      <c r="AH78" s="2"/>
      <c r="AI78" s="2"/>
      <c r="AJ78" s="2" t="s">
        <v>2</v>
      </c>
      <c r="AK78" s="2" t="s">
        <v>2</v>
      </c>
      <c r="AL78" s="2" t="s">
        <v>2</v>
      </c>
      <c r="AM78" s="2" t="s">
        <v>2</v>
      </c>
      <c r="AN78" s="2" t="s">
        <v>2</v>
      </c>
      <c r="AO78" s="2"/>
      <c r="AP78" s="2"/>
      <c r="AQ78" s="2" t="s">
        <v>2</v>
      </c>
      <c r="AR78" s="2" t="s">
        <v>2</v>
      </c>
    </row>
    <row r="79" spans="2:44" ht="14.25" hidden="1">
      <c r="B79" s="28" t="s">
        <v>97</v>
      </c>
      <c r="C79" s="22" t="s">
        <v>121</v>
      </c>
      <c r="D79" s="26" t="s">
        <v>36</v>
      </c>
      <c r="F79" s="10">
        <f t="shared" si="8"/>
        <v>20</v>
      </c>
      <c r="G79" s="10">
        <f t="shared" si="9"/>
        <v>0</v>
      </c>
      <c r="H79" s="10">
        <f t="shared" si="10"/>
        <v>0</v>
      </c>
      <c r="I79" s="10">
        <f t="shared" si="11"/>
        <v>0</v>
      </c>
      <c r="J79" s="10">
        <f t="shared" si="12"/>
        <v>0</v>
      </c>
      <c r="K79" s="10">
        <f t="shared" si="13"/>
        <v>0</v>
      </c>
      <c r="L79" s="10">
        <f t="shared" si="14"/>
        <v>0</v>
      </c>
      <c r="M79" s="10">
        <f t="shared" si="15"/>
        <v>0</v>
      </c>
      <c r="O79" s="2" t="s">
        <v>2</v>
      </c>
      <c r="P79" s="2" t="s">
        <v>2</v>
      </c>
      <c r="Q79" s="2" t="s">
        <v>2</v>
      </c>
      <c r="R79" s="2"/>
      <c r="S79" s="2"/>
      <c r="T79" s="2"/>
      <c r="U79" s="2"/>
      <c r="V79" s="2" t="s">
        <v>2</v>
      </c>
      <c r="W79" s="2" t="s">
        <v>2</v>
      </c>
      <c r="X79" s="2" t="s">
        <v>2</v>
      </c>
      <c r="Y79" s="2" t="s">
        <v>2</v>
      </c>
      <c r="Z79" s="2" t="s">
        <v>2</v>
      </c>
      <c r="AA79" s="2"/>
      <c r="AB79" s="2"/>
      <c r="AC79" s="2" t="s">
        <v>2</v>
      </c>
      <c r="AD79" s="2" t="s">
        <v>2</v>
      </c>
      <c r="AE79" s="2" t="s">
        <v>2</v>
      </c>
      <c r="AF79" s="2" t="s">
        <v>2</v>
      </c>
      <c r="AG79" s="2" t="s">
        <v>2</v>
      </c>
      <c r="AH79" s="2"/>
      <c r="AI79" s="2"/>
      <c r="AJ79" s="2" t="s">
        <v>2</v>
      </c>
      <c r="AK79" s="2" t="s">
        <v>2</v>
      </c>
      <c r="AL79" s="2" t="s">
        <v>2</v>
      </c>
      <c r="AM79" s="2" t="s">
        <v>2</v>
      </c>
      <c r="AN79" s="2" t="s">
        <v>2</v>
      </c>
      <c r="AO79" s="2"/>
      <c r="AP79" s="2"/>
      <c r="AQ79" s="2" t="s">
        <v>2</v>
      </c>
      <c r="AR79" s="2" t="s">
        <v>2</v>
      </c>
    </row>
    <row r="80" spans="2:44" ht="14.25" hidden="1">
      <c r="B80" s="28" t="s">
        <v>97</v>
      </c>
      <c r="C80" s="22" t="s">
        <v>122</v>
      </c>
      <c r="D80" s="26" t="s">
        <v>36</v>
      </c>
      <c r="F80" s="10">
        <f t="shared" si="8"/>
        <v>11</v>
      </c>
      <c r="G80" s="10">
        <f t="shared" si="9"/>
        <v>0</v>
      </c>
      <c r="H80" s="10">
        <f t="shared" si="10"/>
        <v>0</v>
      </c>
      <c r="I80" s="10">
        <f t="shared" si="11"/>
        <v>9</v>
      </c>
      <c r="J80" s="10">
        <f t="shared" si="12"/>
        <v>0</v>
      </c>
      <c r="K80" s="10">
        <f t="shared" si="13"/>
        <v>0</v>
      </c>
      <c r="L80" s="10">
        <f t="shared" si="14"/>
        <v>0</v>
      </c>
      <c r="M80" s="10">
        <f t="shared" si="15"/>
        <v>0</v>
      </c>
      <c r="O80" s="2" t="s">
        <v>2</v>
      </c>
      <c r="P80" s="2" t="s">
        <v>2</v>
      </c>
      <c r="Q80" s="2" t="s">
        <v>2</v>
      </c>
      <c r="R80" s="2"/>
      <c r="S80" s="2"/>
      <c r="T80" s="2"/>
      <c r="U80" s="2"/>
      <c r="V80" s="2" t="s">
        <v>2</v>
      </c>
      <c r="W80" s="2" t="s">
        <v>2</v>
      </c>
      <c r="X80" s="2" t="s">
        <v>2</v>
      </c>
      <c r="Y80" s="2" t="s">
        <v>2</v>
      </c>
      <c r="Z80" s="2" t="s">
        <v>2</v>
      </c>
      <c r="AA80" s="2"/>
      <c r="AB80" s="2"/>
      <c r="AC80" s="2" t="s">
        <v>5</v>
      </c>
      <c r="AD80" s="2" t="s">
        <v>5</v>
      </c>
      <c r="AE80" s="2" t="s">
        <v>5</v>
      </c>
      <c r="AF80" s="2" t="s">
        <v>5</v>
      </c>
      <c r="AG80" s="2" t="s">
        <v>5</v>
      </c>
      <c r="AH80" s="2"/>
      <c r="AI80" s="2"/>
      <c r="AJ80" s="2" t="s">
        <v>2</v>
      </c>
      <c r="AK80" s="2" t="s">
        <v>5</v>
      </c>
      <c r="AL80" s="2" t="s">
        <v>5</v>
      </c>
      <c r="AM80" s="2" t="s">
        <v>5</v>
      </c>
      <c r="AN80" s="2" t="s">
        <v>5</v>
      </c>
      <c r="AO80" s="2"/>
      <c r="AP80" s="2"/>
      <c r="AQ80" s="2" t="s">
        <v>2</v>
      </c>
      <c r="AR80" s="2" t="s">
        <v>2</v>
      </c>
    </row>
    <row r="81" spans="2:44" ht="14.25" hidden="1">
      <c r="B81" s="28" t="s">
        <v>97</v>
      </c>
      <c r="C81" s="22" t="s">
        <v>123</v>
      </c>
      <c r="D81" s="26" t="s">
        <v>36</v>
      </c>
      <c r="F81" s="10">
        <f t="shared" si="8"/>
        <v>18</v>
      </c>
      <c r="G81" s="10">
        <f t="shared" si="9"/>
        <v>0</v>
      </c>
      <c r="H81" s="10">
        <f t="shared" si="10"/>
        <v>0</v>
      </c>
      <c r="I81" s="10">
        <f t="shared" si="11"/>
        <v>2</v>
      </c>
      <c r="J81" s="10">
        <f t="shared" si="12"/>
        <v>0</v>
      </c>
      <c r="K81" s="10">
        <f t="shared" si="13"/>
        <v>0</v>
      </c>
      <c r="L81" s="10">
        <f t="shared" si="14"/>
        <v>0</v>
      </c>
      <c r="M81" s="10">
        <f t="shared" si="15"/>
        <v>0</v>
      </c>
      <c r="O81" s="2" t="s">
        <v>2</v>
      </c>
      <c r="P81" s="2" t="s">
        <v>2</v>
      </c>
      <c r="Q81" s="2" t="s">
        <v>2</v>
      </c>
      <c r="R81" s="2"/>
      <c r="S81" s="2"/>
      <c r="T81" s="2"/>
      <c r="U81" s="2"/>
      <c r="V81" s="2" t="s">
        <v>2</v>
      </c>
      <c r="W81" s="2" t="s">
        <v>2</v>
      </c>
      <c r="X81" s="2" t="s">
        <v>2</v>
      </c>
      <c r="Y81" s="2" t="s">
        <v>2</v>
      </c>
      <c r="Z81" s="2" t="s">
        <v>2</v>
      </c>
      <c r="AA81" s="2"/>
      <c r="AB81" s="2"/>
      <c r="AC81" s="2" t="s">
        <v>2</v>
      </c>
      <c r="AD81" s="2" t="s">
        <v>2</v>
      </c>
      <c r="AE81" s="2" t="s">
        <v>2</v>
      </c>
      <c r="AF81" s="2" t="s">
        <v>2</v>
      </c>
      <c r="AG81" s="2" t="s">
        <v>5</v>
      </c>
      <c r="AH81" s="2"/>
      <c r="AI81" s="2"/>
      <c r="AJ81" s="2" t="s">
        <v>5</v>
      </c>
      <c r="AK81" s="2" t="s">
        <v>2</v>
      </c>
      <c r="AL81" s="2" t="s">
        <v>2</v>
      </c>
      <c r="AM81" s="2" t="s">
        <v>2</v>
      </c>
      <c r="AN81" s="2" t="s">
        <v>2</v>
      </c>
      <c r="AO81" s="2"/>
      <c r="AP81" s="2"/>
      <c r="AQ81" s="2" t="s">
        <v>2</v>
      </c>
      <c r="AR81" s="2" t="s">
        <v>2</v>
      </c>
    </row>
    <row r="82" spans="2:44" ht="14.25" hidden="1">
      <c r="B82" s="28" t="s">
        <v>97</v>
      </c>
      <c r="C82" s="22" t="s">
        <v>124</v>
      </c>
      <c r="D82" s="26" t="s">
        <v>36</v>
      </c>
      <c r="F82" s="10">
        <f t="shared" si="8"/>
        <v>20</v>
      </c>
      <c r="G82" s="10">
        <f t="shared" si="9"/>
        <v>0</v>
      </c>
      <c r="H82" s="10">
        <f t="shared" si="10"/>
        <v>0</v>
      </c>
      <c r="I82" s="10">
        <f t="shared" si="11"/>
        <v>0</v>
      </c>
      <c r="J82" s="10">
        <f t="shared" si="12"/>
        <v>0</v>
      </c>
      <c r="K82" s="10">
        <f t="shared" si="13"/>
        <v>0</v>
      </c>
      <c r="L82" s="10">
        <f t="shared" si="14"/>
        <v>0</v>
      </c>
      <c r="M82" s="10">
        <f t="shared" si="15"/>
        <v>0</v>
      </c>
      <c r="O82" s="2" t="s">
        <v>2</v>
      </c>
      <c r="P82" s="2" t="s">
        <v>2</v>
      </c>
      <c r="Q82" s="2" t="s">
        <v>2</v>
      </c>
      <c r="R82" s="2"/>
      <c r="S82" s="2"/>
      <c r="T82" s="2"/>
      <c r="U82" s="2"/>
      <c r="V82" s="2" t="s">
        <v>2</v>
      </c>
      <c r="W82" s="2" t="s">
        <v>2</v>
      </c>
      <c r="X82" s="2" t="s">
        <v>2</v>
      </c>
      <c r="Y82" s="2" t="s">
        <v>2</v>
      </c>
      <c r="Z82" s="2" t="s">
        <v>2</v>
      </c>
      <c r="AA82" s="2"/>
      <c r="AB82" s="2"/>
      <c r="AC82" s="2" t="s">
        <v>2</v>
      </c>
      <c r="AD82" s="2" t="s">
        <v>2</v>
      </c>
      <c r="AE82" s="2" t="s">
        <v>2</v>
      </c>
      <c r="AF82" s="2" t="s">
        <v>2</v>
      </c>
      <c r="AG82" s="2" t="s">
        <v>2</v>
      </c>
      <c r="AH82" s="2"/>
      <c r="AI82" s="2"/>
      <c r="AJ82" s="2" t="s">
        <v>2</v>
      </c>
      <c r="AK82" s="2" t="s">
        <v>2</v>
      </c>
      <c r="AL82" s="2" t="s">
        <v>2</v>
      </c>
      <c r="AM82" s="2" t="s">
        <v>2</v>
      </c>
      <c r="AN82" s="2" t="s">
        <v>2</v>
      </c>
      <c r="AO82" s="2"/>
      <c r="AP82" s="2"/>
      <c r="AQ82" s="2" t="s">
        <v>2</v>
      </c>
      <c r="AR82" s="2" t="s">
        <v>2</v>
      </c>
    </row>
    <row r="83" spans="2:44" ht="14.25" hidden="1">
      <c r="B83" s="28" t="s">
        <v>97</v>
      </c>
      <c r="C83" s="22" t="s">
        <v>125</v>
      </c>
      <c r="D83" s="26" t="s">
        <v>36</v>
      </c>
      <c r="F83" s="10">
        <f t="shared" si="8"/>
        <v>18</v>
      </c>
      <c r="G83" s="10">
        <f t="shared" si="9"/>
        <v>0</v>
      </c>
      <c r="H83" s="10">
        <f t="shared" si="10"/>
        <v>0</v>
      </c>
      <c r="I83" s="10">
        <f t="shared" si="11"/>
        <v>2</v>
      </c>
      <c r="J83" s="10">
        <f t="shared" si="12"/>
        <v>0</v>
      </c>
      <c r="K83" s="10">
        <f t="shared" si="13"/>
        <v>0</v>
      </c>
      <c r="L83" s="10">
        <f t="shared" si="14"/>
        <v>0</v>
      </c>
      <c r="M83" s="10">
        <f t="shared" si="15"/>
        <v>0</v>
      </c>
      <c r="O83" s="2" t="s">
        <v>2</v>
      </c>
      <c r="P83" s="2" t="s">
        <v>2</v>
      </c>
      <c r="Q83" s="2" t="s">
        <v>2</v>
      </c>
      <c r="R83" s="2"/>
      <c r="S83" s="2"/>
      <c r="T83" s="2"/>
      <c r="U83" s="2"/>
      <c r="V83" s="2" t="s">
        <v>2</v>
      </c>
      <c r="W83" s="2" t="s">
        <v>2</v>
      </c>
      <c r="X83" s="2" t="s">
        <v>5</v>
      </c>
      <c r="Y83" s="2" t="s">
        <v>2</v>
      </c>
      <c r="Z83" s="2" t="s">
        <v>2</v>
      </c>
      <c r="AA83" s="2"/>
      <c r="AB83" s="2"/>
      <c r="AC83" s="2" t="s">
        <v>2</v>
      </c>
      <c r="AD83" s="2" t="s">
        <v>2</v>
      </c>
      <c r="AE83" s="2" t="s">
        <v>2</v>
      </c>
      <c r="AF83" s="2" t="s">
        <v>2</v>
      </c>
      <c r="AG83" s="2" t="s">
        <v>2</v>
      </c>
      <c r="AH83" s="2"/>
      <c r="AI83" s="2"/>
      <c r="AJ83" s="2" t="s">
        <v>2</v>
      </c>
      <c r="AK83" s="2" t="s">
        <v>2</v>
      </c>
      <c r="AL83" s="2" t="s">
        <v>5</v>
      </c>
      <c r="AM83" s="2" t="s">
        <v>2</v>
      </c>
      <c r="AN83" s="2" t="s">
        <v>2</v>
      </c>
      <c r="AO83" s="2"/>
      <c r="AP83" s="2"/>
      <c r="AQ83" s="2" t="s">
        <v>2</v>
      </c>
      <c r="AR83" s="2" t="s">
        <v>2</v>
      </c>
    </row>
    <row r="84" spans="2:44" ht="14.25" hidden="1">
      <c r="B84" s="28" t="s">
        <v>97</v>
      </c>
      <c r="C84" s="22" t="s">
        <v>126</v>
      </c>
      <c r="D84" s="26" t="s">
        <v>40</v>
      </c>
      <c r="F84" s="10">
        <f t="shared" si="8"/>
        <v>20</v>
      </c>
      <c r="G84" s="10">
        <f t="shared" si="9"/>
        <v>0</v>
      </c>
      <c r="H84" s="10">
        <f t="shared" si="10"/>
        <v>0</v>
      </c>
      <c r="I84" s="10">
        <f t="shared" si="11"/>
        <v>0</v>
      </c>
      <c r="J84" s="10">
        <f t="shared" si="12"/>
        <v>0</v>
      </c>
      <c r="K84" s="10">
        <f t="shared" si="13"/>
        <v>0</v>
      </c>
      <c r="L84" s="10">
        <f t="shared" si="14"/>
        <v>0</v>
      </c>
      <c r="M84" s="10">
        <f t="shared" si="15"/>
        <v>0</v>
      </c>
      <c r="O84" s="2" t="s">
        <v>2</v>
      </c>
      <c r="P84" s="2" t="s">
        <v>2</v>
      </c>
      <c r="Q84" s="2" t="s">
        <v>2</v>
      </c>
      <c r="R84" s="2"/>
      <c r="S84" s="2"/>
      <c r="T84" s="2"/>
      <c r="U84" s="2"/>
      <c r="V84" s="2" t="s">
        <v>2</v>
      </c>
      <c r="W84" s="2" t="s">
        <v>2</v>
      </c>
      <c r="X84" s="2" t="s">
        <v>2</v>
      </c>
      <c r="Y84" s="2" t="s">
        <v>2</v>
      </c>
      <c r="Z84" s="2" t="s">
        <v>2</v>
      </c>
      <c r="AA84" s="2"/>
      <c r="AB84" s="2"/>
      <c r="AC84" s="2" t="s">
        <v>2</v>
      </c>
      <c r="AD84" s="2" t="s">
        <v>2</v>
      </c>
      <c r="AE84" s="2" t="s">
        <v>2</v>
      </c>
      <c r="AF84" s="2" t="s">
        <v>2</v>
      </c>
      <c r="AG84" s="2" t="s">
        <v>2</v>
      </c>
      <c r="AH84" s="2"/>
      <c r="AI84" s="2"/>
      <c r="AJ84" s="2" t="s">
        <v>2</v>
      </c>
      <c r="AK84" s="2" t="s">
        <v>2</v>
      </c>
      <c r="AL84" s="2" t="s">
        <v>2</v>
      </c>
      <c r="AM84" s="2" t="s">
        <v>2</v>
      </c>
      <c r="AN84" s="2" t="s">
        <v>2</v>
      </c>
      <c r="AO84" s="2"/>
      <c r="AP84" s="2"/>
      <c r="AQ84" s="2" t="s">
        <v>2</v>
      </c>
      <c r="AR84" s="2" t="s">
        <v>2</v>
      </c>
    </row>
    <row r="85" spans="2:44" ht="14.25" hidden="1">
      <c r="B85" s="28" t="s">
        <v>97</v>
      </c>
      <c r="C85" s="22" t="s">
        <v>127</v>
      </c>
      <c r="D85" s="26" t="s">
        <v>40</v>
      </c>
      <c r="F85" s="10">
        <f t="shared" si="8"/>
        <v>20</v>
      </c>
      <c r="G85" s="10">
        <f t="shared" si="9"/>
        <v>0</v>
      </c>
      <c r="H85" s="10">
        <f t="shared" si="10"/>
        <v>0</v>
      </c>
      <c r="I85" s="10">
        <f t="shared" si="11"/>
        <v>0</v>
      </c>
      <c r="J85" s="10">
        <f t="shared" si="12"/>
        <v>0</v>
      </c>
      <c r="K85" s="10">
        <f t="shared" si="13"/>
        <v>0</v>
      </c>
      <c r="L85" s="10">
        <f t="shared" si="14"/>
        <v>0</v>
      </c>
      <c r="M85" s="10">
        <f t="shared" si="15"/>
        <v>0</v>
      </c>
      <c r="O85" s="2" t="s">
        <v>2</v>
      </c>
      <c r="P85" s="2" t="s">
        <v>2</v>
      </c>
      <c r="Q85" s="2" t="s">
        <v>2</v>
      </c>
      <c r="R85" s="2"/>
      <c r="S85" s="2"/>
      <c r="T85" s="2"/>
      <c r="U85" s="2"/>
      <c r="V85" s="2" t="s">
        <v>2</v>
      </c>
      <c r="W85" s="2" t="s">
        <v>2</v>
      </c>
      <c r="X85" s="2" t="s">
        <v>2</v>
      </c>
      <c r="Y85" s="2" t="s">
        <v>2</v>
      </c>
      <c r="Z85" s="2" t="s">
        <v>2</v>
      </c>
      <c r="AA85" s="2"/>
      <c r="AB85" s="2"/>
      <c r="AC85" s="2" t="s">
        <v>2</v>
      </c>
      <c r="AD85" s="2" t="s">
        <v>2</v>
      </c>
      <c r="AE85" s="2" t="s">
        <v>2</v>
      </c>
      <c r="AF85" s="2" t="s">
        <v>2</v>
      </c>
      <c r="AG85" s="2" t="s">
        <v>2</v>
      </c>
      <c r="AH85" s="2"/>
      <c r="AI85" s="2"/>
      <c r="AJ85" s="2" t="s">
        <v>2</v>
      </c>
      <c r="AK85" s="2" t="s">
        <v>2</v>
      </c>
      <c r="AL85" s="2" t="s">
        <v>2</v>
      </c>
      <c r="AM85" s="2" t="s">
        <v>2</v>
      </c>
      <c r="AN85" s="2" t="s">
        <v>2</v>
      </c>
      <c r="AO85" s="2"/>
      <c r="AP85" s="2"/>
      <c r="AQ85" s="2" t="s">
        <v>2</v>
      </c>
      <c r="AR85" s="2" t="s">
        <v>2</v>
      </c>
    </row>
    <row r="86" spans="2:44" ht="14.25" hidden="1">
      <c r="B86" s="28" t="s">
        <v>97</v>
      </c>
      <c r="C86" s="22" t="s">
        <v>128</v>
      </c>
      <c r="D86" s="26" t="s">
        <v>40</v>
      </c>
      <c r="F86" s="10">
        <f t="shared" si="8"/>
        <v>20</v>
      </c>
      <c r="G86" s="10">
        <f t="shared" si="9"/>
        <v>0</v>
      </c>
      <c r="H86" s="10">
        <f t="shared" si="10"/>
        <v>0</v>
      </c>
      <c r="I86" s="10">
        <f t="shared" si="11"/>
        <v>0</v>
      </c>
      <c r="J86" s="10">
        <f t="shared" si="12"/>
        <v>0</v>
      </c>
      <c r="K86" s="10">
        <f t="shared" si="13"/>
        <v>0</v>
      </c>
      <c r="L86" s="10">
        <f t="shared" si="14"/>
        <v>0</v>
      </c>
      <c r="M86" s="10">
        <f t="shared" si="15"/>
        <v>0</v>
      </c>
      <c r="O86" s="2" t="s">
        <v>2</v>
      </c>
      <c r="P86" s="2" t="s">
        <v>2</v>
      </c>
      <c r="Q86" s="2" t="s">
        <v>2</v>
      </c>
      <c r="R86" s="2"/>
      <c r="S86" s="2"/>
      <c r="T86" s="2"/>
      <c r="U86" s="2"/>
      <c r="V86" s="2" t="s">
        <v>2</v>
      </c>
      <c r="W86" s="2" t="s">
        <v>2</v>
      </c>
      <c r="X86" s="2" t="s">
        <v>2</v>
      </c>
      <c r="Y86" s="2" t="s">
        <v>2</v>
      </c>
      <c r="Z86" s="2" t="s">
        <v>2</v>
      </c>
      <c r="AA86" s="2"/>
      <c r="AB86" s="2"/>
      <c r="AC86" s="2" t="s">
        <v>2</v>
      </c>
      <c r="AD86" s="2" t="s">
        <v>2</v>
      </c>
      <c r="AE86" s="2" t="s">
        <v>2</v>
      </c>
      <c r="AF86" s="2" t="s">
        <v>2</v>
      </c>
      <c r="AG86" s="2" t="s">
        <v>2</v>
      </c>
      <c r="AH86" s="2"/>
      <c r="AI86" s="2"/>
      <c r="AJ86" s="2" t="s">
        <v>2</v>
      </c>
      <c r="AK86" s="2" t="s">
        <v>2</v>
      </c>
      <c r="AL86" s="2" t="s">
        <v>2</v>
      </c>
      <c r="AM86" s="2" t="s">
        <v>2</v>
      </c>
      <c r="AN86" s="2" t="s">
        <v>2</v>
      </c>
      <c r="AO86" s="2"/>
      <c r="AP86" s="2"/>
      <c r="AQ86" s="2" t="s">
        <v>2</v>
      </c>
      <c r="AR86" s="2" t="s">
        <v>2</v>
      </c>
    </row>
    <row r="87" spans="2:44" ht="14.25" hidden="1">
      <c r="B87" s="28" t="s">
        <v>97</v>
      </c>
      <c r="C87" s="22" t="s">
        <v>129</v>
      </c>
      <c r="D87" s="26" t="s">
        <v>40</v>
      </c>
      <c r="F87" s="10">
        <f t="shared" ref="F87" si="16">COUNTIF(O87:AR87,$F$5)</f>
        <v>20</v>
      </c>
      <c r="G87" s="10">
        <f t="shared" ref="G87" si="17">COUNTIF(O87:AR87,$G$5)</f>
        <v>0</v>
      </c>
      <c r="H87" s="10">
        <f t="shared" ref="H87" si="18">COUNTIF(O87:AR87,$H$5)</f>
        <v>0</v>
      </c>
      <c r="I87" s="10">
        <f t="shared" ref="I87" si="19">COUNTIF(O87:AR87,$I$5)</f>
        <v>0</v>
      </c>
      <c r="J87" s="10">
        <f t="shared" ref="J87" si="20">COUNTIF(O87:AR87,$J$5)</f>
        <v>0</v>
      </c>
      <c r="K87" s="10">
        <f t="shared" ref="K87" si="21">COUNTIF(O87:AR87,$K$5)</f>
        <v>0</v>
      </c>
      <c r="L87" s="10">
        <f t="shared" ref="L87" si="22">COUNTIF(O87:AR87,$L$5)</f>
        <v>0</v>
      </c>
      <c r="M87" s="10">
        <f t="shared" ref="M87" si="23">COUNTIF(O87:AR87,$M$5)</f>
        <v>0</v>
      </c>
      <c r="O87" s="2" t="s">
        <v>2</v>
      </c>
      <c r="P87" s="2" t="s">
        <v>2</v>
      </c>
      <c r="Q87" s="2" t="s">
        <v>2</v>
      </c>
      <c r="R87" s="2"/>
      <c r="S87" s="2"/>
      <c r="T87" s="2"/>
      <c r="U87" s="2"/>
      <c r="V87" s="2" t="s">
        <v>2</v>
      </c>
      <c r="W87" s="2" t="s">
        <v>2</v>
      </c>
      <c r="X87" s="2" t="s">
        <v>2</v>
      </c>
      <c r="Y87" s="2" t="s">
        <v>2</v>
      </c>
      <c r="Z87" s="2" t="s">
        <v>2</v>
      </c>
      <c r="AA87" s="2"/>
      <c r="AB87" s="2"/>
      <c r="AC87" s="2" t="s">
        <v>2</v>
      </c>
      <c r="AD87" s="2" t="s">
        <v>2</v>
      </c>
      <c r="AE87" s="2" t="s">
        <v>2</v>
      </c>
      <c r="AF87" s="2" t="s">
        <v>2</v>
      </c>
      <c r="AG87" s="2" t="s">
        <v>2</v>
      </c>
      <c r="AH87" s="2"/>
      <c r="AI87" s="2"/>
      <c r="AJ87" s="2" t="s">
        <v>2</v>
      </c>
      <c r="AK87" s="2" t="s">
        <v>2</v>
      </c>
      <c r="AL87" s="2" t="s">
        <v>2</v>
      </c>
      <c r="AM87" s="2" t="s">
        <v>2</v>
      </c>
      <c r="AN87" s="2" t="s">
        <v>2</v>
      </c>
      <c r="AO87" s="2"/>
      <c r="AP87" s="2"/>
      <c r="AQ87" s="2" t="s">
        <v>2</v>
      </c>
      <c r="AR87" s="2" t="s">
        <v>2</v>
      </c>
    </row>
    <row r="88" spans="2:44" ht="14.25" hidden="1">
      <c r="B88" s="28" t="s">
        <v>97</v>
      </c>
      <c r="C88" s="22" t="s">
        <v>130</v>
      </c>
      <c r="D88" s="26" t="s">
        <v>40</v>
      </c>
      <c r="F88" s="10">
        <f t="shared" si="8"/>
        <v>16</v>
      </c>
      <c r="G88" s="10">
        <f t="shared" si="9"/>
        <v>0</v>
      </c>
      <c r="H88" s="10">
        <f t="shared" si="10"/>
        <v>0</v>
      </c>
      <c r="I88" s="10">
        <f t="shared" si="11"/>
        <v>4</v>
      </c>
      <c r="J88" s="10">
        <f t="shared" si="12"/>
        <v>0</v>
      </c>
      <c r="K88" s="10">
        <f t="shared" si="13"/>
        <v>0</v>
      </c>
      <c r="L88" s="10">
        <f t="shared" si="14"/>
        <v>0</v>
      </c>
      <c r="M88" s="10">
        <f t="shared" si="15"/>
        <v>0</v>
      </c>
      <c r="O88" s="2" t="s">
        <v>2</v>
      </c>
      <c r="P88" s="2" t="s">
        <v>2</v>
      </c>
      <c r="Q88" s="2" t="s">
        <v>2</v>
      </c>
      <c r="R88" s="2"/>
      <c r="S88" s="2"/>
      <c r="T88" s="2"/>
      <c r="U88" s="2"/>
      <c r="V88" s="2" t="s">
        <v>2</v>
      </c>
      <c r="W88" s="2" t="s">
        <v>2</v>
      </c>
      <c r="X88" s="2" t="s">
        <v>2</v>
      </c>
      <c r="Y88" s="2" t="s">
        <v>2</v>
      </c>
      <c r="Z88" s="2" t="s">
        <v>2</v>
      </c>
      <c r="AA88" s="2"/>
      <c r="AB88" s="2"/>
      <c r="AC88" s="2" t="s">
        <v>2</v>
      </c>
      <c r="AD88" s="2" t="s">
        <v>2</v>
      </c>
      <c r="AE88" s="2" t="s">
        <v>2</v>
      </c>
      <c r="AF88" s="2" t="s">
        <v>2</v>
      </c>
      <c r="AG88" s="2" t="s">
        <v>2</v>
      </c>
      <c r="AH88" s="2"/>
      <c r="AI88" s="2"/>
      <c r="AJ88" s="2" t="s">
        <v>2</v>
      </c>
      <c r="AK88" s="2" t="s">
        <v>5</v>
      </c>
      <c r="AL88" s="2" t="s">
        <v>2</v>
      </c>
      <c r="AM88" s="2" t="s">
        <v>5</v>
      </c>
      <c r="AN88" s="2" t="s">
        <v>5</v>
      </c>
      <c r="AO88" s="2"/>
      <c r="AP88" s="2"/>
      <c r="AQ88" s="2" t="s">
        <v>2</v>
      </c>
      <c r="AR88" s="2" t="s">
        <v>5</v>
      </c>
    </row>
    <row r="89" spans="2:44" ht="14.25" hidden="1">
      <c r="B89" s="28" t="s">
        <v>97</v>
      </c>
      <c r="C89" s="22" t="s">
        <v>131</v>
      </c>
      <c r="D89" s="26" t="s">
        <v>40</v>
      </c>
      <c r="F89" s="10">
        <f t="shared" si="8"/>
        <v>20</v>
      </c>
      <c r="G89" s="10">
        <f t="shared" si="9"/>
        <v>0</v>
      </c>
      <c r="H89" s="10">
        <f t="shared" si="10"/>
        <v>0</v>
      </c>
      <c r="I89" s="10">
        <f t="shared" si="11"/>
        <v>0</v>
      </c>
      <c r="J89" s="10">
        <f t="shared" si="12"/>
        <v>0</v>
      </c>
      <c r="K89" s="10">
        <f t="shared" si="13"/>
        <v>0</v>
      </c>
      <c r="L89" s="10">
        <f t="shared" si="14"/>
        <v>0</v>
      </c>
      <c r="M89" s="10">
        <f t="shared" si="15"/>
        <v>0</v>
      </c>
      <c r="O89" s="2" t="s">
        <v>2</v>
      </c>
      <c r="P89" s="2" t="s">
        <v>2</v>
      </c>
      <c r="Q89" s="2" t="s">
        <v>2</v>
      </c>
      <c r="R89" s="2"/>
      <c r="S89" s="2"/>
      <c r="T89" s="2"/>
      <c r="U89" s="2"/>
      <c r="V89" s="2" t="s">
        <v>2</v>
      </c>
      <c r="W89" s="2" t="s">
        <v>2</v>
      </c>
      <c r="X89" s="2" t="s">
        <v>2</v>
      </c>
      <c r="Y89" s="2" t="s">
        <v>2</v>
      </c>
      <c r="Z89" s="2" t="s">
        <v>2</v>
      </c>
      <c r="AA89" s="2"/>
      <c r="AB89" s="2"/>
      <c r="AC89" s="2" t="s">
        <v>2</v>
      </c>
      <c r="AD89" s="2" t="s">
        <v>2</v>
      </c>
      <c r="AE89" s="2" t="s">
        <v>2</v>
      </c>
      <c r="AF89" s="2" t="s">
        <v>2</v>
      </c>
      <c r="AG89" s="2" t="s">
        <v>2</v>
      </c>
      <c r="AH89" s="2"/>
      <c r="AI89" s="2"/>
      <c r="AJ89" s="2" t="s">
        <v>2</v>
      </c>
      <c r="AK89" s="2" t="s">
        <v>2</v>
      </c>
      <c r="AL89" s="2" t="s">
        <v>2</v>
      </c>
      <c r="AM89" s="2" t="s">
        <v>2</v>
      </c>
      <c r="AN89" s="2" t="s">
        <v>2</v>
      </c>
      <c r="AO89" s="2"/>
      <c r="AP89" s="2"/>
      <c r="AQ89" s="2" t="s">
        <v>2</v>
      </c>
      <c r="AR89" s="2" t="s">
        <v>2</v>
      </c>
    </row>
    <row r="90" spans="2:44" ht="14.25" hidden="1">
      <c r="B90" s="28" t="s">
        <v>97</v>
      </c>
      <c r="C90" s="22" t="s">
        <v>132</v>
      </c>
      <c r="D90" s="26" t="s">
        <v>40</v>
      </c>
      <c r="F90" s="10">
        <f t="shared" si="8"/>
        <v>19</v>
      </c>
      <c r="G90" s="10">
        <f t="shared" si="9"/>
        <v>0</v>
      </c>
      <c r="H90" s="10">
        <f t="shared" si="10"/>
        <v>0</v>
      </c>
      <c r="I90" s="10">
        <f t="shared" si="11"/>
        <v>1</v>
      </c>
      <c r="J90" s="10">
        <f t="shared" si="12"/>
        <v>0</v>
      </c>
      <c r="K90" s="10">
        <f t="shared" si="13"/>
        <v>0</v>
      </c>
      <c r="L90" s="10">
        <f t="shared" si="14"/>
        <v>0</v>
      </c>
      <c r="M90" s="10">
        <f t="shared" si="15"/>
        <v>0</v>
      </c>
      <c r="O90" s="2" t="s">
        <v>2</v>
      </c>
      <c r="P90" s="2" t="s">
        <v>2</v>
      </c>
      <c r="Q90" s="2" t="s">
        <v>2</v>
      </c>
      <c r="R90" s="2"/>
      <c r="S90" s="2"/>
      <c r="T90" s="2"/>
      <c r="U90" s="2"/>
      <c r="V90" s="2" t="s">
        <v>2</v>
      </c>
      <c r="W90" s="2" t="s">
        <v>2</v>
      </c>
      <c r="X90" s="2" t="s">
        <v>2</v>
      </c>
      <c r="Y90" s="2" t="s">
        <v>2</v>
      </c>
      <c r="Z90" s="2" t="s">
        <v>5</v>
      </c>
      <c r="AA90" s="2"/>
      <c r="AB90" s="2"/>
      <c r="AC90" s="2" t="s">
        <v>2</v>
      </c>
      <c r="AD90" s="2" t="s">
        <v>2</v>
      </c>
      <c r="AE90" s="2" t="s">
        <v>2</v>
      </c>
      <c r="AF90" s="2" t="s">
        <v>2</v>
      </c>
      <c r="AG90" s="2" t="s">
        <v>2</v>
      </c>
      <c r="AH90" s="2"/>
      <c r="AI90" s="2"/>
      <c r="AJ90" s="2" t="s">
        <v>2</v>
      </c>
      <c r="AK90" s="2" t="s">
        <v>2</v>
      </c>
      <c r="AL90" s="2" t="s">
        <v>2</v>
      </c>
      <c r="AM90" s="2" t="s">
        <v>2</v>
      </c>
      <c r="AN90" s="2" t="s">
        <v>2</v>
      </c>
      <c r="AO90" s="2"/>
      <c r="AP90" s="2"/>
      <c r="AQ90" s="2" t="s">
        <v>2</v>
      </c>
      <c r="AR90" s="2" t="s">
        <v>2</v>
      </c>
    </row>
    <row r="91" spans="2:44" ht="14.25" hidden="1">
      <c r="B91" s="28" t="s">
        <v>97</v>
      </c>
      <c r="C91" s="22" t="s">
        <v>133</v>
      </c>
      <c r="D91" s="26" t="s">
        <v>40</v>
      </c>
      <c r="F91" s="10">
        <f t="shared" si="8"/>
        <v>20</v>
      </c>
      <c r="G91" s="10">
        <f t="shared" si="9"/>
        <v>0</v>
      </c>
      <c r="H91" s="10">
        <f t="shared" si="10"/>
        <v>0</v>
      </c>
      <c r="I91" s="10">
        <f t="shared" si="11"/>
        <v>0</v>
      </c>
      <c r="J91" s="10">
        <f t="shared" si="12"/>
        <v>0</v>
      </c>
      <c r="K91" s="10">
        <f t="shared" si="13"/>
        <v>0</v>
      </c>
      <c r="L91" s="10">
        <f t="shared" si="14"/>
        <v>0</v>
      </c>
      <c r="M91" s="10">
        <f t="shared" si="15"/>
        <v>0</v>
      </c>
      <c r="O91" s="2" t="s">
        <v>2</v>
      </c>
      <c r="P91" s="2" t="s">
        <v>2</v>
      </c>
      <c r="Q91" s="2" t="s">
        <v>2</v>
      </c>
      <c r="R91" s="2"/>
      <c r="S91" s="2"/>
      <c r="T91" s="2"/>
      <c r="U91" s="2"/>
      <c r="V91" s="2" t="s">
        <v>2</v>
      </c>
      <c r="W91" s="2" t="s">
        <v>2</v>
      </c>
      <c r="X91" s="2" t="s">
        <v>2</v>
      </c>
      <c r="Y91" s="2" t="s">
        <v>2</v>
      </c>
      <c r="Z91" s="2" t="s">
        <v>2</v>
      </c>
      <c r="AA91" s="2"/>
      <c r="AB91" s="2"/>
      <c r="AC91" s="2" t="s">
        <v>2</v>
      </c>
      <c r="AD91" s="2" t="s">
        <v>2</v>
      </c>
      <c r="AE91" s="2" t="s">
        <v>2</v>
      </c>
      <c r="AF91" s="2" t="s">
        <v>2</v>
      </c>
      <c r="AG91" s="2" t="s">
        <v>2</v>
      </c>
      <c r="AH91" s="2"/>
      <c r="AI91" s="2"/>
      <c r="AJ91" s="2" t="s">
        <v>2</v>
      </c>
      <c r="AK91" s="2" t="s">
        <v>2</v>
      </c>
      <c r="AL91" s="2" t="s">
        <v>2</v>
      </c>
      <c r="AM91" s="2" t="s">
        <v>2</v>
      </c>
      <c r="AN91" s="2" t="s">
        <v>2</v>
      </c>
      <c r="AO91" s="2"/>
      <c r="AP91" s="2"/>
      <c r="AQ91" s="2" t="s">
        <v>2</v>
      </c>
      <c r="AR91" s="2" t="s">
        <v>2</v>
      </c>
    </row>
    <row r="92" spans="2:44" ht="14.25" hidden="1">
      <c r="B92" s="28" t="s">
        <v>97</v>
      </c>
      <c r="C92" s="22" t="s">
        <v>134</v>
      </c>
      <c r="D92" s="26" t="s">
        <v>40</v>
      </c>
      <c r="F92" s="10">
        <f t="shared" si="8"/>
        <v>20</v>
      </c>
      <c r="G92" s="10">
        <f t="shared" si="9"/>
        <v>0</v>
      </c>
      <c r="H92" s="10">
        <f t="shared" si="10"/>
        <v>0</v>
      </c>
      <c r="I92" s="10">
        <f t="shared" si="11"/>
        <v>0</v>
      </c>
      <c r="J92" s="10">
        <f t="shared" si="12"/>
        <v>0</v>
      </c>
      <c r="K92" s="10">
        <f t="shared" si="13"/>
        <v>0</v>
      </c>
      <c r="L92" s="10">
        <f t="shared" si="14"/>
        <v>0</v>
      </c>
      <c r="M92" s="10">
        <f t="shared" si="15"/>
        <v>0</v>
      </c>
      <c r="O92" s="2" t="s">
        <v>2</v>
      </c>
      <c r="P92" s="2" t="s">
        <v>2</v>
      </c>
      <c r="Q92" s="2" t="s">
        <v>2</v>
      </c>
      <c r="R92" s="2"/>
      <c r="S92" s="2"/>
      <c r="T92" s="2"/>
      <c r="U92" s="2"/>
      <c r="V92" s="2" t="s">
        <v>2</v>
      </c>
      <c r="W92" s="2" t="s">
        <v>2</v>
      </c>
      <c r="X92" s="2" t="s">
        <v>2</v>
      </c>
      <c r="Y92" s="2" t="s">
        <v>2</v>
      </c>
      <c r="Z92" s="2" t="s">
        <v>2</v>
      </c>
      <c r="AA92" s="2"/>
      <c r="AB92" s="2"/>
      <c r="AC92" s="2" t="s">
        <v>2</v>
      </c>
      <c r="AD92" s="2" t="s">
        <v>2</v>
      </c>
      <c r="AE92" s="2" t="s">
        <v>2</v>
      </c>
      <c r="AF92" s="2" t="s">
        <v>2</v>
      </c>
      <c r="AG92" s="2" t="s">
        <v>2</v>
      </c>
      <c r="AH92" s="2"/>
      <c r="AI92" s="2"/>
      <c r="AJ92" s="2" t="s">
        <v>2</v>
      </c>
      <c r="AK92" s="2" t="s">
        <v>2</v>
      </c>
      <c r="AL92" s="2" t="s">
        <v>2</v>
      </c>
      <c r="AM92" s="2" t="s">
        <v>2</v>
      </c>
      <c r="AN92" s="2" t="s">
        <v>2</v>
      </c>
      <c r="AO92" s="2"/>
      <c r="AP92" s="2"/>
      <c r="AQ92" s="2" t="s">
        <v>2</v>
      </c>
      <c r="AR92" s="2" t="s">
        <v>2</v>
      </c>
    </row>
    <row r="93" spans="2:44" ht="14.25" hidden="1">
      <c r="B93" s="28" t="s">
        <v>97</v>
      </c>
      <c r="C93" s="22" t="s">
        <v>135</v>
      </c>
      <c r="D93" s="26" t="s">
        <v>40</v>
      </c>
      <c r="F93" s="10">
        <f t="shared" si="8"/>
        <v>19</v>
      </c>
      <c r="G93" s="10">
        <f t="shared" si="9"/>
        <v>0</v>
      </c>
      <c r="H93" s="10">
        <f t="shared" si="10"/>
        <v>1</v>
      </c>
      <c r="I93" s="10">
        <f t="shared" si="11"/>
        <v>0</v>
      </c>
      <c r="J93" s="10">
        <f t="shared" si="12"/>
        <v>0</v>
      </c>
      <c r="K93" s="10">
        <f t="shared" si="13"/>
        <v>0</v>
      </c>
      <c r="L93" s="10">
        <f t="shared" si="14"/>
        <v>0</v>
      </c>
      <c r="M93" s="10">
        <f t="shared" si="15"/>
        <v>0</v>
      </c>
      <c r="O93" s="2" t="s">
        <v>2</v>
      </c>
      <c r="P93" s="2" t="s">
        <v>2</v>
      </c>
      <c r="Q93" s="2" t="s">
        <v>2</v>
      </c>
      <c r="R93" s="2"/>
      <c r="S93" s="2"/>
      <c r="T93" s="2"/>
      <c r="U93" s="2"/>
      <c r="V93" s="2" t="s">
        <v>2</v>
      </c>
      <c r="W93" s="2" t="s">
        <v>2</v>
      </c>
      <c r="X93" s="2" t="s">
        <v>2</v>
      </c>
      <c r="Y93" s="2" t="s">
        <v>2</v>
      </c>
      <c r="Z93" s="2" t="s">
        <v>2</v>
      </c>
      <c r="AA93" s="2"/>
      <c r="AB93" s="2"/>
      <c r="AC93" s="2" t="s">
        <v>2</v>
      </c>
      <c r="AD93" s="2" t="s">
        <v>2</v>
      </c>
      <c r="AE93" s="2" t="s">
        <v>2</v>
      </c>
      <c r="AF93" s="2" t="s">
        <v>2</v>
      </c>
      <c r="AG93" s="2" t="s">
        <v>2</v>
      </c>
      <c r="AH93" s="2"/>
      <c r="AI93" s="2"/>
      <c r="AJ93" s="2" t="s">
        <v>2</v>
      </c>
      <c r="AK93" s="2" t="s">
        <v>2</v>
      </c>
      <c r="AL93" s="2" t="s">
        <v>2</v>
      </c>
      <c r="AM93" s="2" t="s">
        <v>2</v>
      </c>
      <c r="AN93" s="2" t="s">
        <v>2</v>
      </c>
      <c r="AO93" s="2"/>
      <c r="AP93" s="2"/>
      <c r="AQ93" s="2" t="s">
        <v>4</v>
      </c>
      <c r="AR93" s="2" t="s">
        <v>2</v>
      </c>
    </row>
    <row r="94" spans="2:44" ht="14.25" hidden="1">
      <c r="B94" s="28" t="s">
        <v>97</v>
      </c>
      <c r="C94" s="22" t="s">
        <v>136</v>
      </c>
      <c r="D94" s="26" t="s">
        <v>40</v>
      </c>
      <c r="F94" s="10">
        <f t="shared" si="8"/>
        <v>18</v>
      </c>
      <c r="G94" s="10">
        <f t="shared" si="9"/>
        <v>0</v>
      </c>
      <c r="H94" s="10">
        <f t="shared" si="10"/>
        <v>0</v>
      </c>
      <c r="I94" s="10">
        <f t="shared" si="11"/>
        <v>2</v>
      </c>
      <c r="J94" s="10">
        <f t="shared" si="12"/>
        <v>0</v>
      </c>
      <c r="K94" s="10">
        <f t="shared" si="13"/>
        <v>0</v>
      </c>
      <c r="L94" s="10">
        <f t="shared" si="14"/>
        <v>0</v>
      </c>
      <c r="M94" s="10">
        <f t="shared" si="15"/>
        <v>0</v>
      </c>
      <c r="O94" s="2" t="s">
        <v>2</v>
      </c>
      <c r="P94" s="2" t="s">
        <v>2</v>
      </c>
      <c r="Q94" s="2" t="s">
        <v>2</v>
      </c>
      <c r="R94" s="2"/>
      <c r="S94" s="2"/>
      <c r="T94" s="2"/>
      <c r="U94" s="2"/>
      <c r="V94" s="2" t="s">
        <v>5</v>
      </c>
      <c r="W94" s="2" t="s">
        <v>2</v>
      </c>
      <c r="X94" s="2" t="s">
        <v>2</v>
      </c>
      <c r="Y94" s="2" t="s">
        <v>2</v>
      </c>
      <c r="Z94" s="2" t="s">
        <v>2</v>
      </c>
      <c r="AA94" s="2"/>
      <c r="AB94" s="2"/>
      <c r="AC94" s="2" t="s">
        <v>2</v>
      </c>
      <c r="AD94" s="2" t="s">
        <v>2</v>
      </c>
      <c r="AE94" s="2" t="s">
        <v>2</v>
      </c>
      <c r="AF94" s="2" t="s">
        <v>2</v>
      </c>
      <c r="AG94" s="2" t="s">
        <v>2</v>
      </c>
      <c r="AH94" s="2"/>
      <c r="AI94" s="2"/>
      <c r="AJ94" s="2" t="s">
        <v>2</v>
      </c>
      <c r="AK94" s="2" t="s">
        <v>2</v>
      </c>
      <c r="AL94" s="2" t="s">
        <v>2</v>
      </c>
      <c r="AM94" s="2" t="s">
        <v>5</v>
      </c>
      <c r="AN94" s="2" t="s">
        <v>2</v>
      </c>
      <c r="AO94" s="2"/>
      <c r="AP94" s="2"/>
      <c r="AQ94" s="2" t="s">
        <v>2</v>
      </c>
      <c r="AR94" s="2" t="s">
        <v>2</v>
      </c>
    </row>
    <row r="95" spans="2:44" ht="14.25" hidden="1">
      <c r="B95" s="28" t="s">
        <v>65</v>
      </c>
      <c r="C95" s="22" t="s">
        <v>137</v>
      </c>
      <c r="D95" s="26" t="s">
        <v>40</v>
      </c>
      <c r="F95" s="10">
        <f t="shared" si="8"/>
        <v>20</v>
      </c>
      <c r="G95" s="10">
        <f t="shared" si="9"/>
        <v>0</v>
      </c>
      <c r="H95" s="10">
        <f t="shared" si="10"/>
        <v>0</v>
      </c>
      <c r="I95" s="10">
        <f t="shared" si="11"/>
        <v>0</v>
      </c>
      <c r="J95" s="10">
        <f t="shared" si="12"/>
        <v>0</v>
      </c>
      <c r="K95" s="10">
        <f t="shared" si="13"/>
        <v>0</v>
      </c>
      <c r="L95" s="10">
        <f t="shared" si="14"/>
        <v>0</v>
      </c>
      <c r="M95" s="10">
        <f>COUNTIF(O95:AR95,$M$5)</f>
        <v>0</v>
      </c>
      <c r="O95" s="2" t="s">
        <v>2</v>
      </c>
      <c r="P95" s="2" t="s">
        <v>2</v>
      </c>
      <c r="Q95" s="2" t="s">
        <v>2</v>
      </c>
      <c r="R95" s="2"/>
      <c r="S95" s="2"/>
      <c r="T95" s="2"/>
      <c r="U95" s="2"/>
      <c r="V95" s="2" t="s">
        <v>2</v>
      </c>
      <c r="W95" s="2" t="s">
        <v>2</v>
      </c>
      <c r="X95" s="2" t="s">
        <v>2</v>
      </c>
      <c r="Y95" s="2" t="s">
        <v>2</v>
      </c>
      <c r="Z95" s="2" t="s">
        <v>2</v>
      </c>
      <c r="AA95" s="2"/>
      <c r="AB95" s="2"/>
      <c r="AC95" s="2" t="s">
        <v>2</v>
      </c>
      <c r="AD95" s="2" t="s">
        <v>2</v>
      </c>
      <c r="AE95" s="2" t="s">
        <v>2</v>
      </c>
      <c r="AF95" s="2" t="s">
        <v>2</v>
      </c>
      <c r="AG95" s="2" t="s">
        <v>2</v>
      </c>
      <c r="AH95" s="2"/>
      <c r="AI95" s="2"/>
      <c r="AJ95" s="2" t="s">
        <v>2</v>
      </c>
      <c r="AK95" s="2" t="s">
        <v>2</v>
      </c>
      <c r="AL95" s="2" t="s">
        <v>2</v>
      </c>
      <c r="AM95" s="2" t="s">
        <v>2</v>
      </c>
      <c r="AN95" s="2" t="s">
        <v>2</v>
      </c>
      <c r="AO95" s="2"/>
      <c r="AP95" s="2"/>
      <c r="AQ95" s="2" t="s">
        <v>2</v>
      </c>
      <c r="AR95" s="2" t="s">
        <v>2</v>
      </c>
    </row>
    <row r="96" spans="2:44" ht="14.25" hidden="1">
      <c r="B96" s="28" t="s">
        <v>97</v>
      </c>
      <c r="C96" s="22" t="s">
        <v>138</v>
      </c>
      <c r="D96" s="26" t="s">
        <v>40</v>
      </c>
      <c r="F96" s="10">
        <f t="shared" si="8"/>
        <v>18</v>
      </c>
      <c r="G96" s="10">
        <f t="shared" si="9"/>
        <v>0</v>
      </c>
      <c r="H96" s="10">
        <f t="shared" si="10"/>
        <v>0</v>
      </c>
      <c r="I96" s="10">
        <f t="shared" si="11"/>
        <v>2</v>
      </c>
      <c r="J96" s="10">
        <f t="shared" si="12"/>
        <v>0</v>
      </c>
      <c r="K96" s="10">
        <f t="shared" si="13"/>
        <v>0</v>
      </c>
      <c r="L96" s="10">
        <f t="shared" si="14"/>
        <v>0</v>
      </c>
      <c r="M96" s="10">
        <f>COUNTIF(O96:AR96,$M$5)</f>
        <v>0</v>
      </c>
      <c r="O96" s="2" t="s">
        <v>2</v>
      </c>
      <c r="P96" s="2" t="s">
        <v>2</v>
      </c>
      <c r="Q96" s="2" t="s">
        <v>2</v>
      </c>
      <c r="R96" s="2"/>
      <c r="S96" s="2"/>
      <c r="T96" s="2"/>
      <c r="U96" s="2"/>
      <c r="V96" s="2" t="s">
        <v>5</v>
      </c>
      <c r="W96" s="2" t="s">
        <v>2</v>
      </c>
      <c r="X96" s="2" t="s">
        <v>2</v>
      </c>
      <c r="Y96" s="2" t="s">
        <v>2</v>
      </c>
      <c r="Z96" s="2" t="s">
        <v>5</v>
      </c>
      <c r="AA96" s="2"/>
      <c r="AB96" s="2"/>
      <c r="AC96" s="2" t="s">
        <v>2</v>
      </c>
      <c r="AD96" s="2" t="s">
        <v>2</v>
      </c>
      <c r="AE96" s="2" t="s">
        <v>2</v>
      </c>
      <c r="AF96" s="2" t="s">
        <v>2</v>
      </c>
      <c r="AG96" s="2" t="s">
        <v>2</v>
      </c>
      <c r="AH96" s="2"/>
      <c r="AI96" s="2"/>
      <c r="AJ96" s="2" t="s">
        <v>2</v>
      </c>
      <c r="AK96" s="2" t="s">
        <v>2</v>
      </c>
      <c r="AL96" s="2" t="s">
        <v>2</v>
      </c>
      <c r="AM96" s="2" t="s">
        <v>2</v>
      </c>
      <c r="AN96" s="2" t="s">
        <v>2</v>
      </c>
      <c r="AO96" s="2"/>
      <c r="AP96" s="2"/>
      <c r="AQ96" s="2" t="s">
        <v>2</v>
      </c>
      <c r="AR96" s="2" t="s">
        <v>2</v>
      </c>
    </row>
    <row r="97" spans="2:44" ht="14.25" hidden="1">
      <c r="B97" s="28" t="s">
        <v>97</v>
      </c>
      <c r="C97" s="22" t="s">
        <v>139</v>
      </c>
      <c r="D97" s="26" t="s">
        <v>40</v>
      </c>
      <c r="F97" s="10">
        <f t="shared" si="8"/>
        <v>20</v>
      </c>
      <c r="G97" s="10">
        <f t="shared" si="9"/>
        <v>0</v>
      </c>
      <c r="H97" s="10">
        <f t="shared" si="10"/>
        <v>0</v>
      </c>
      <c r="I97" s="10">
        <f t="shared" si="11"/>
        <v>0</v>
      </c>
      <c r="J97" s="10">
        <f t="shared" si="12"/>
        <v>0</v>
      </c>
      <c r="K97" s="10">
        <f t="shared" si="13"/>
        <v>0</v>
      </c>
      <c r="L97" s="10">
        <f t="shared" si="14"/>
        <v>0</v>
      </c>
      <c r="M97" s="10">
        <f t="shared" si="15"/>
        <v>0</v>
      </c>
      <c r="O97" s="2" t="s">
        <v>2</v>
      </c>
      <c r="P97" s="2" t="s">
        <v>2</v>
      </c>
      <c r="Q97" s="2" t="s">
        <v>2</v>
      </c>
      <c r="R97" s="2"/>
      <c r="S97" s="2"/>
      <c r="T97" s="2"/>
      <c r="U97" s="2"/>
      <c r="V97" s="2" t="s">
        <v>2</v>
      </c>
      <c r="W97" s="2" t="s">
        <v>2</v>
      </c>
      <c r="X97" s="2" t="s">
        <v>2</v>
      </c>
      <c r="Y97" s="2" t="s">
        <v>2</v>
      </c>
      <c r="Z97" s="2" t="s">
        <v>2</v>
      </c>
      <c r="AA97" s="2"/>
      <c r="AB97" s="2"/>
      <c r="AC97" s="2" t="s">
        <v>2</v>
      </c>
      <c r="AD97" s="2" t="s">
        <v>2</v>
      </c>
      <c r="AE97" s="2" t="s">
        <v>2</v>
      </c>
      <c r="AF97" s="2" t="s">
        <v>2</v>
      </c>
      <c r="AG97" s="2" t="s">
        <v>2</v>
      </c>
      <c r="AH97" s="2"/>
      <c r="AI97" s="2"/>
      <c r="AJ97" s="2" t="s">
        <v>2</v>
      </c>
      <c r="AK97" s="2" t="s">
        <v>2</v>
      </c>
      <c r="AL97" s="2" t="s">
        <v>2</v>
      </c>
      <c r="AM97" s="2" t="s">
        <v>2</v>
      </c>
      <c r="AN97" s="2" t="s">
        <v>2</v>
      </c>
      <c r="AO97" s="2"/>
      <c r="AP97" s="2"/>
      <c r="AQ97" s="2" t="s">
        <v>2</v>
      </c>
      <c r="AR97" s="2" t="s">
        <v>2</v>
      </c>
    </row>
    <row r="98" spans="2:44" ht="14.25" hidden="1">
      <c r="B98" s="28" t="s">
        <v>97</v>
      </c>
      <c r="C98" s="22" t="s">
        <v>140</v>
      </c>
      <c r="D98" s="26" t="s">
        <v>51</v>
      </c>
      <c r="F98" s="10">
        <f t="shared" si="8"/>
        <v>20</v>
      </c>
      <c r="G98" s="10">
        <f t="shared" si="9"/>
        <v>0</v>
      </c>
      <c r="H98" s="10">
        <f t="shared" si="10"/>
        <v>0</v>
      </c>
      <c r="I98" s="10">
        <f t="shared" si="11"/>
        <v>0</v>
      </c>
      <c r="J98" s="10">
        <f t="shared" si="12"/>
        <v>0</v>
      </c>
      <c r="K98" s="10">
        <f t="shared" si="13"/>
        <v>0</v>
      </c>
      <c r="L98" s="10">
        <f t="shared" si="14"/>
        <v>0</v>
      </c>
      <c r="M98" s="10">
        <f t="shared" si="15"/>
        <v>0</v>
      </c>
      <c r="O98" s="2" t="s">
        <v>2</v>
      </c>
      <c r="P98" s="2" t="s">
        <v>2</v>
      </c>
      <c r="Q98" s="2" t="s">
        <v>2</v>
      </c>
      <c r="R98" s="2"/>
      <c r="S98" s="2"/>
      <c r="T98" s="2"/>
      <c r="U98" s="2"/>
      <c r="V98" s="2" t="s">
        <v>2</v>
      </c>
      <c r="W98" s="2" t="s">
        <v>2</v>
      </c>
      <c r="X98" s="2" t="s">
        <v>2</v>
      </c>
      <c r="Y98" s="2" t="s">
        <v>2</v>
      </c>
      <c r="Z98" s="2" t="s">
        <v>2</v>
      </c>
      <c r="AA98" s="2"/>
      <c r="AB98" s="2"/>
      <c r="AC98" s="2" t="s">
        <v>2</v>
      </c>
      <c r="AD98" s="2" t="s">
        <v>2</v>
      </c>
      <c r="AE98" s="2" t="s">
        <v>2</v>
      </c>
      <c r="AF98" s="2" t="s">
        <v>2</v>
      </c>
      <c r="AG98" s="2" t="s">
        <v>2</v>
      </c>
      <c r="AH98" s="2"/>
      <c r="AI98" s="2"/>
      <c r="AJ98" s="2" t="s">
        <v>2</v>
      </c>
      <c r="AK98" s="2" t="s">
        <v>2</v>
      </c>
      <c r="AL98" s="2" t="s">
        <v>2</v>
      </c>
      <c r="AM98" s="2" t="s">
        <v>2</v>
      </c>
      <c r="AN98" s="2" t="s">
        <v>2</v>
      </c>
      <c r="AO98" s="2"/>
      <c r="AP98" s="2"/>
      <c r="AQ98" s="2" t="s">
        <v>2</v>
      </c>
      <c r="AR98" s="2" t="s">
        <v>2</v>
      </c>
    </row>
    <row r="99" spans="2:44" ht="14.25" hidden="1">
      <c r="B99" s="28" t="s">
        <v>97</v>
      </c>
      <c r="C99" s="22" t="s">
        <v>141</v>
      </c>
      <c r="D99" s="26" t="s">
        <v>63</v>
      </c>
      <c r="F99" s="10">
        <f t="shared" si="8"/>
        <v>20</v>
      </c>
      <c r="G99" s="10">
        <f t="shared" si="9"/>
        <v>0</v>
      </c>
      <c r="H99" s="10">
        <f t="shared" si="10"/>
        <v>0</v>
      </c>
      <c r="I99" s="10">
        <f t="shared" si="11"/>
        <v>0</v>
      </c>
      <c r="J99" s="10">
        <f t="shared" si="12"/>
        <v>0</v>
      </c>
      <c r="K99" s="10">
        <f t="shared" si="13"/>
        <v>0</v>
      </c>
      <c r="L99" s="10">
        <f t="shared" si="14"/>
        <v>0</v>
      </c>
      <c r="M99" s="10">
        <f t="shared" si="15"/>
        <v>0</v>
      </c>
      <c r="O99" s="2" t="s">
        <v>2</v>
      </c>
      <c r="P99" s="2" t="s">
        <v>2</v>
      </c>
      <c r="Q99" s="2" t="s">
        <v>2</v>
      </c>
      <c r="R99" s="2"/>
      <c r="S99" s="2"/>
      <c r="T99" s="2"/>
      <c r="U99" s="2"/>
      <c r="V99" s="2" t="s">
        <v>2</v>
      </c>
      <c r="W99" s="2" t="s">
        <v>2</v>
      </c>
      <c r="X99" s="2" t="s">
        <v>2</v>
      </c>
      <c r="Y99" s="2" t="s">
        <v>2</v>
      </c>
      <c r="Z99" s="2" t="s">
        <v>2</v>
      </c>
      <c r="AA99" s="2"/>
      <c r="AB99" s="2"/>
      <c r="AC99" s="2" t="s">
        <v>2</v>
      </c>
      <c r="AD99" s="2" t="s">
        <v>2</v>
      </c>
      <c r="AE99" s="2" t="s">
        <v>2</v>
      </c>
      <c r="AF99" s="2" t="s">
        <v>2</v>
      </c>
      <c r="AG99" s="2" t="s">
        <v>2</v>
      </c>
      <c r="AH99" s="2"/>
      <c r="AI99" s="2"/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2</v>
      </c>
      <c r="AO99" s="2"/>
      <c r="AP99" s="2"/>
      <c r="AQ99" s="2" t="s">
        <v>2</v>
      </c>
      <c r="AR99" s="2" t="s">
        <v>2</v>
      </c>
    </row>
    <row r="100" spans="2:44" ht="14.25" hidden="1">
      <c r="B100" s="28" t="s">
        <v>97</v>
      </c>
      <c r="C100" s="22" t="s">
        <v>142</v>
      </c>
      <c r="D100" s="26" t="s">
        <v>63</v>
      </c>
      <c r="F100" s="10">
        <f t="shared" si="8"/>
        <v>20</v>
      </c>
      <c r="G100" s="10">
        <f t="shared" si="9"/>
        <v>0</v>
      </c>
      <c r="H100" s="10">
        <f t="shared" si="10"/>
        <v>0</v>
      </c>
      <c r="I100" s="10">
        <f t="shared" si="11"/>
        <v>0</v>
      </c>
      <c r="J100" s="10">
        <f t="shared" si="12"/>
        <v>0</v>
      </c>
      <c r="K100" s="10">
        <f t="shared" si="13"/>
        <v>0</v>
      </c>
      <c r="L100" s="10">
        <f t="shared" si="14"/>
        <v>0</v>
      </c>
      <c r="M100" s="10">
        <f t="shared" si="15"/>
        <v>0</v>
      </c>
      <c r="O100" s="2" t="s">
        <v>2</v>
      </c>
      <c r="P100" s="2" t="s">
        <v>2</v>
      </c>
      <c r="Q100" s="2" t="s">
        <v>2</v>
      </c>
      <c r="R100" s="2"/>
      <c r="S100" s="2"/>
      <c r="T100" s="2"/>
      <c r="U100" s="2"/>
      <c r="V100" s="2" t="s">
        <v>2</v>
      </c>
      <c r="W100" s="2" t="s">
        <v>2</v>
      </c>
      <c r="X100" s="2" t="s">
        <v>2</v>
      </c>
      <c r="Y100" s="2" t="s">
        <v>2</v>
      </c>
      <c r="Z100" s="2" t="s">
        <v>2</v>
      </c>
      <c r="AA100" s="2"/>
      <c r="AB100" s="2"/>
      <c r="AC100" s="2" t="s">
        <v>2</v>
      </c>
      <c r="AD100" s="2" t="s">
        <v>2</v>
      </c>
      <c r="AE100" s="2" t="s">
        <v>2</v>
      </c>
      <c r="AF100" s="2" t="s">
        <v>2</v>
      </c>
      <c r="AG100" s="2" t="s">
        <v>2</v>
      </c>
      <c r="AH100" s="2"/>
      <c r="AI100" s="2"/>
      <c r="AJ100" s="2" t="s">
        <v>2</v>
      </c>
      <c r="AK100" s="2" t="s">
        <v>2</v>
      </c>
      <c r="AL100" s="2" t="s">
        <v>2</v>
      </c>
      <c r="AM100" s="2" t="s">
        <v>2</v>
      </c>
      <c r="AN100" s="2" t="s">
        <v>2</v>
      </c>
      <c r="AO100" s="2"/>
      <c r="AP100" s="2"/>
      <c r="AQ100" s="2" t="s">
        <v>2</v>
      </c>
      <c r="AR100" s="2" t="s">
        <v>2</v>
      </c>
    </row>
    <row r="101" spans="2:44" ht="14.25">
      <c r="B101" s="28" t="s">
        <v>143</v>
      </c>
      <c r="C101" s="22" t="s">
        <v>144</v>
      </c>
      <c r="D101" s="26" t="s">
        <v>72</v>
      </c>
      <c r="F101" s="10">
        <f t="shared" si="8"/>
        <v>24</v>
      </c>
      <c r="G101" s="10">
        <f t="shared" si="9"/>
        <v>0</v>
      </c>
      <c r="H101" s="10">
        <f t="shared" si="10"/>
        <v>0</v>
      </c>
      <c r="I101" s="10">
        <f t="shared" si="11"/>
        <v>0</v>
      </c>
      <c r="J101" s="10">
        <f t="shared" si="12"/>
        <v>0</v>
      </c>
      <c r="K101" s="10">
        <f t="shared" si="13"/>
        <v>0</v>
      </c>
      <c r="L101" s="10">
        <f t="shared" si="14"/>
        <v>0</v>
      </c>
      <c r="M101" s="10">
        <f t="shared" si="15"/>
        <v>0</v>
      </c>
      <c r="O101" s="2" t="s">
        <v>2</v>
      </c>
      <c r="P101" s="2" t="s">
        <v>2</v>
      </c>
      <c r="Q101" s="2" t="s">
        <v>2</v>
      </c>
      <c r="R101" s="2" t="s">
        <v>2</v>
      </c>
      <c r="S101" s="2"/>
      <c r="T101" s="2"/>
      <c r="U101" s="2"/>
      <c r="V101" s="2" t="s">
        <v>2</v>
      </c>
      <c r="W101" s="2" t="s">
        <v>2</v>
      </c>
      <c r="X101" s="2" t="s">
        <v>2</v>
      </c>
      <c r="Y101" s="2" t="s">
        <v>2</v>
      </c>
      <c r="Z101" s="2" t="s">
        <v>2</v>
      </c>
      <c r="AA101" s="2" t="s">
        <v>2</v>
      </c>
      <c r="AB101" s="2"/>
      <c r="AC101" s="2" t="s">
        <v>2</v>
      </c>
      <c r="AD101" s="2" t="s">
        <v>2</v>
      </c>
      <c r="AE101" s="2" t="s">
        <v>2</v>
      </c>
      <c r="AF101" s="2" t="s">
        <v>2</v>
      </c>
      <c r="AG101" s="2" t="s">
        <v>2</v>
      </c>
      <c r="AH101" s="2" t="s">
        <v>2</v>
      </c>
      <c r="AI101" s="2"/>
      <c r="AJ101" s="2" t="s">
        <v>2</v>
      </c>
      <c r="AK101" s="2" t="s">
        <v>2</v>
      </c>
      <c r="AL101" s="2" t="s">
        <v>2</v>
      </c>
      <c r="AM101" s="2" t="s">
        <v>2</v>
      </c>
      <c r="AN101" s="2" t="s">
        <v>2</v>
      </c>
      <c r="AO101" s="2" t="s">
        <v>2</v>
      </c>
      <c r="AP101" s="2"/>
      <c r="AQ101" s="2" t="s">
        <v>2</v>
      </c>
      <c r="AR101" s="2" t="s">
        <v>2</v>
      </c>
    </row>
    <row r="102" spans="2:44" ht="14.25">
      <c r="B102" s="28" t="s">
        <v>143</v>
      </c>
      <c r="C102" s="22" t="s">
        <v>145</v>
      </c>
      <c r="D102" s="26" t="s">
        <v>49</v>
      </c>
      <c r="F102" s="10">
        <f t="shared" si="8"/>
        <v>24</v>
      </c>
      <c r="G102" s="10">
        <f t="shared" si="9"/>
        <v>0</v>
      </c>
      <c r="H102" s="10">
        <f t="shared" si="10"/>
        <v>0</v>
      </c>
      <c r="I102" s="10">
        <f t="shared" si="11"/>
        <v>0</v>
      </c>
      <c r="J102" s="10">
        <f t="shared" si="12"/>
        <v>0</v>
      </c>
      <c r="K102" s="10">
        <f t="shared" si="13"/>
        <v>0</v>
      </c>
      <c r="L102" s="10">
        <f t="shared" si="14"/>
        <v>0</v>
      </c>
      <c r="M102" s="10">
        <f t="shared" si="15"/>
        <v>0</v>
      </c>
      <c r="O102" s="2" t="s">
        <v>2</v>
      </c>
      <c r="P102" s="2" t="s">
        <v>2</v>
      </c>
      <c r="Q102" s="2" t="s">
        <v>2</v>
      </c>
      <c r="R102" s="2" t="s">
        <v>2</v>
      </c>
      <c r="S102" s="2"/>
      <c r="T102" s="2"/>
      <c r="U102" s="2"/>
      <c r="V102" s="2" t="s">
        <v>2</v>
      </c>
      <c r="W102" s="2" t="s">
        <v>2</v>
      </c>
      <c r="X102" s="2" t="s">
        <v>2</v>
      </c>
      <c r="Y102" s="2" t="s">
        <v>2</v>
      </c>
      <c r="Z102" s="2" t="s">
        <v>2</v>
      </c>
      <c r="AA102" s="2" t="s">
        <v>2</v>
      </c>
      <c r="AB102" s="2"/>
      <c r="AC102" s="2" t="s">
        <v>2</v>
      </c>
      <c r="AD102" s="2" t="s">
        <v>2</v>
      </c>
      <c r="AE102" s="2" t="s">
        <v>2</v>
      </c>
      <c r="AF102" s="2" t="s">
        <v>2</v>
      </c>
      <c r="AG102" s="2" t="s">
        <v>2</v>
      </c>
      <c r="AH102" s="2" t="s">
        <v>2</v>
      </c>
      <c r="AI102" s="2"/>
      <c r="AJ102" s="2" t="s">
        <v>2</v>
      </c>
      <c r="AK102" s="2" t="s">
        <v>2</v>
      </c>
      <c r="AL102" s="2" t="s">
        <v>2</v>
      </c>
      <c r="AM102" s="2" t="s">
        <v>2</v>
      </c>
      <c r="AN102" s="2" t="s">
        <v>2</v>
      </c>
      <c r="AO102" s="2" t="s">
        <v>2</v>
      </c>
      <c r="AP102" s="2"/>
      <c r="AQ102" s="2" t="s">
        <v>2</v>
      </c>
      <c r="AR102" s="2" t="s">
        <v>2</v>
      </c>
    </row>
    <row r="103" spans="2:44" ht="14.25">
      <c r="B103" s="28" t="s">
        <v>143</v>
      </c>
      <c r="C103" s="22" t="s">
        <v>146</v>
      </c>
      <c r="D103" s="26" t="s">
        <v>49</v>
      </c>
      <c r="F103" s="10">
        <f t="shared" ref="F103:F118" si="24">COUNTIF(O103:AR103,$F$5)</f>
        <v>24</v>
      </c>
      <c r="G103" s="10">
        <f t="shared" ref="G103:G118" si="25">COUNTIF(O103:AR103,$G$5)</f>
        <v>0</v>
      </c>
      <c r="H103" s="10">
        <f t="shared" ref="H103:H118" si="26">COUNTIF(O103:AR103,$H$5)</f>
        <v>0</v>
      </c>
      <c r="I103" s="10">
        <f t="shared" ref="I103:I118" si="27">COUNTIF(O103:AR103,$I$5)</f>
        <v>0</v>
      </c>
      <c r="J103" s="10">
        <f t="shared" ref="J103:J118" si="28">COUNTIF(O103:AR103,$J$5)</f>
        <v>0</v>
      </c>
      <c r="K103" s="10">
        <f t="shared" ref="K103:K118" si="29">COUNTIF(O103:AR103,$K$5)</f>
        <v>0</v>
      </c>
      <c r="L103" s="10">
        <f t="shared" ref="L103:L118" si="30">COUNTIF(O103:AR103,$L$5)</f>
        <v>0</v>
      </c>
      <c r="M103" s="10">
        <f t="shared" ref="M103:M118" si="31">COUNTIF(O103:AR103,$M$5)</f>
        <v>0</v>
      </c>
      <c r="O103" s="2" t="s">
        <v>2</v>
      </c>
      <c r="P103" s="2" t="s">
        <v>2</v>
      </c>
      <c r="Q103" s="2" t="s">
        <v>2</v>
      </c>
      <c r="R103" s="2" t="s">
        <v>2</v>
      </c>
      <c r="S103" s="2"/>
      <c r="T103" s="2"/>
      <c r="U103" s="2"/>
      <c r="V103" s="2" t="s">
        <v>2</v>
      </c>
      <c r="W103" s="2" t="s">
        <v>2</v>
      </c>
      <c r="X103" s="2" t="s">
        <v>2</v>
      </c>
      <c r="Y103" s="2" t="s">
        <v>2</v>
      </c>
      <c r="Z103" s="2" t="s">
        <v>2</v>
      </c>
      <c r="AA103" s="2" t="s">
        <v>2</v>
      </c>
      <c r="AB103" s="2"/>
      <c r="AC103" s="2" t="s">
        <v>2</v>
      </c>
      <c r="AD103" s="2" t="s">
        <v>2</v>
      </c>
      <c r="AE103" s="2" t="s">
        <v>2</v>
      </c>
      <c r="AF103" s="2" t="s">
        <v>2</v>
      </c>
      <c r="AG103" s="2" t="s">
        <v>2</v>
      </c>
      <c r="AH103" s="2" t="s">
        <v>2</v>
      </c>
      <c r="AI103" s="2"/>
      <c r="AJ103" s="2" t="s">
        <v>2</v>
      </c>
      <c r="AK103" s="2" t="s">
        <v>2</v>
      </c>
      <c r="AL103" s="2" t="s">
        <v>2</v>
      </c>
      <c r="AM103" s="2" t="s">
        <v>2</v>
      </c>
      <c r="AN103" s="2" t="s">
        <v>2</v>
      </c>
      <c r="AO103" s="2" t="s">
        <v>2</v>
      </c>
      <c r="AP103" s="2"/>
      <c r="AQ103" s="2" t="s">
        <v>2</v>
      </c>
      <c r="AR103" s="2" t="s">
        <v>2</v>
      </c>
    </row>
    <row r="104" spans="2:44" ht="14.25">
      <c r="B104" s="28" t="s">
        <v>143</v>
      </c>
      <c r="C104" s="22" t="s">
        <v>147</v>
      </c>
      <c r="D104" s="26" t="s">
        <v>49</v>
      </c>
      <c r="F104" s="10">
        <f t="shared" si="24"/>
        <v>22</v>
      </c>
      <c r="G104" s="10">
        <f t="shared" si="25"/>
        <v>0</v>
      </c>
      <c r="H104" s="10">
        <f t="shared" si="26"/>
        <v>0</v>
      </c>
      <c r="I104" s="10">
        <f t="shared" si="27"/>
        <v>2</v>
      </c>
      <c r="J104" s="10">
        <f t="shared" si="28"/>
        <v>0</v>
      </c>
      <c r="K104" s="10">
        <f t="shared" si="29"/>
        <v>0</v>
      </c>
      <c r="L104" s="10">
        <f t="shared" si="30"/>
        <v>0</v>
      </c>
      <c r="M104" s="10">
        <f t="shared" si="31"/>
        <v>0</v>
      </c>
      <c r="O104" s="2" t="s">
        <v>5</v>
      </c>
      <c r="P104" s="2" t="s">
        <v>2</v>
      </c>
      <c r="Q104" s="2" t="s">
        <v>2</v>
      </c>
      <c r="R104" s="2" t="s">
        <v>2</v>
      </c>
      <c r="S104" s="2"/>
      <c r="T104" s="2"/>
      <c r="U104" s="2"/>
      <c r="V104" s="2" t="s">
        <v>2</v>
      </c>
      <c r="W104" s="2" t="s">
        <v>2</v>
      </c>
      <c r="X104" s="2" t="s">
        <v>2</v>
      </c>
      <c r="Y104" s="2" t="s">
        <v>5</v>
      </c>
      <c r="Z104" s="2" t="s">
        <v>2</v>
      </c>
      <c r="AA104" s="2" t="s">
        <v>2</v>
      </c>
      <c r="AB104" s="2"/>
      <c r="AC104" s="2" t="s">
        <v>2</v>
      </c>
      <c r="AD104" s="2" t="s">
        <v>2</v>
      </c>
      <c r="AE104" s="2" t="s">
        <v>2</v>
      </c>
      <c r="AF104" s="2" t="s">
        <v>2</v>
      </c>
      <c r="AG104" s="2" t="s">
        <v>2</v>
      </c>
      <c r="AH104" s="2" t="s">
        <v>2</v>
      </c>
      <c r="AI104" s="2"/>
      <c r="AJ104" s="2" t="s">
        <v>2</v>
      </c>
      <c r="AK104" s="2" t="s">
        <v>2</v>
      </c>
      <c r="AL104" s="2" t="s">
        <v>2</v>
      </c>
      <c r="AM104" s="2" t="s">
        <v>2</v>
      </c>
      <c r="AN104" s="2" t="s">
        <v>2</v>
      </c>
      <c r="AO104" s="2" t="s">
        <v>2</v>
      </c>
      <c r="AP104" s="2"/>
      <c r="AQ104" s="2" t="s">
        <v>2</v>
      </c>
      <c r="AR104" s="2" t="s">
        <v>2</v>
      </c>
    </row>
    <row r="105" spans="2:44" ht="14.25">
      <c r="B105" s="28" t="s">
        <v>143</v>
      </c>
      <c r="C105" s="22" t="s">
        <v>148</v>
      </c>
      <c r="D105" s="26" t="s">
        <v>36</v>
      </c>
      <c r="F105" s="10">
        <f t="shared" si="24"/>
        <v>23</v>
      </c>
      <c r="G105" s="10">
        <f t="shared" si="25"/>
        <v>0</v>
      </c>
      <c r="H105" s="10">
        <f t="shared" si="26"/>
        <v>1</v>
      </c>
      <c r="I105" s="10">
        <f t="shared" si="27"/>
        <v>0</v>
      </c>
      <c r="J105" s="10">
        <f t="shared" si="28"/>
        <v>0</v>
      </c>
      <c r="K105" s="10">
        <f t="shared" si="29"/>
        <v>0</v>
      </c>
      <c r="L105" s="10">
        <f t="shared" si="30"/>
        <v>0</v>
      </c>
      <c r="M105" s="10">
        <f t="shared" si="31"/>
        <v>0</v>
      </c>
      <c r="O105" s="2" t="s">
        <v>2</v>
      </c>
      <c r="P105" s="2" t="s">
        <v>2</v>
      </c>
      <c r="Q105" s="2" t="s">
        <v>2</v>
      </c>
      <c r="R105" s="2" t="s">
        <v>4</v>
      </c>
      <c r="S105" s="2"/>
      <c r="T105" s="2"/>
      <c r="U105" s="2"/>
      <c r="V105" s="2" t="s">
        <v>2</v>
      </c>
      <c r="W105" s="2" t="s">
        <v>2</v>
      </c>
      <c r="X105" s="2" t="s">
        <v>2</v>
      </c>
      <c r="Y105" s="2" t="s">
        <v>2</v>
      </c>
      <c r="Z105" s="2" t="s">
        <v>2</v>
      </c>
      <c r="AA105" s="2" t="s">
        <v>2</v>
      </c>
      <c r="AB105" s="2"/>
      <c r="AC105" s="2" t="s">
        <v>2</v>
      </c>
      <c r="AD105" s="2" t="s">
        <v>2</v>
      </c>
      <c r="AE105" s="2" t="s">
        <v>2</v>
      </c>
      <c r="AF105" s="2" t="s">
        <v>2</v>
      </c>
      <c r="AG105" s="2" t="s">
        <v>2</v>
      </c>
      <c r="AH105" s="2" t="s">
        <v>2</v>
      </c>
      <c r="AI105" s="2"/>
      <c r="AJ105" s="2" t="s">
        <v>2</v>
      </c>
      <c r="AK105" s="2" t="s">
        <v>2</v>
      </c>
      <c r="AL105" s="2" t="s">
        <v>2</v>
      </c>
      <c r="AM105" s="2" t="s">
        <v>2</v>
      </c>
      <c r="AN105" s="2" t="s">
        <v>2</v>
      </c>
      <c r="AO105" s="2" t="s">
        <v>2</v>
      </c>
      <c r="AP105" s="2"/>
      <c r="AQ105" s="2" t="s">
        <v>2</v>
      </c>
      <c r="AR105" s="2" t="s">
        <v>2</v>
      </c>
    </row>
    <row r="106" spans="2:44" ht="14.25">
      <c r="B106" s="28" t="s">
        <v>143</v>
      </c>
      <c r="C106" s="22" t="s">
        <v>149</v>
      </c>
      <c r="D106" s="26" t="s">
        <v>36</v>
      </c>
      <c r="F106" s="10">
        <f t="shared" si="24"/>
        <v>23</v>
      </c>
      <c r="G106" s="10">
        <f t="shared" si="25"/>
        <v>0</v>
      </c>
      <c r="H106" s="10">
        <f t="shared" si="26"/>
        <v>0</v>
      </c>
      <c r="I106" s="10">
        <f t="shared" si="27"/>
        <v>1</v>
      </c>
      <c r="J106" s="10">
        <f t="shared" si="28"/>
        <v>0</v>
      </c>
      <c r="K106" s="10">
        <f t="shared" si="29"/>
        <v>0</v>
      </c>
      <c r="L106" s="10">
        <f t="shared" si="30"/>
        <v>0</v>
      </c>
      <c r="M106" s="10">
        <f t="shared" si="31"/>
        <v>0</v>
      </c>
      <c r="O106" s="2" t="s">
        <v>2</v>
      </c>
      <c r="P106" s="2" t="s">
        <v>2</v>
      </c>
      <c r="Q106" s="2" t="s">
        <v>2</v>
      </c>
      <c r="R106" s="2" t="s">
        <v>2</v>
      </c>
      <c r="S106" s="2"/>
      <c r="T106" s="2"/>
      <c r="U106" s="2"/>
      <c r="V106" s="2" t="s">
        <v>2</v>
      </c>
      <c r="W106" s="2" t="s">
        <v>2</v>
      </c>
      <c r="X106" s="2" t="s">
        <v>2</v>
      </c>
      <c r="Y106" s="2" t="s">
        <v>2</v>
      </c>
      <c r="Z106" s="2" t="s">
        <v>2</v>
      </c>
      <c r="AA106" s="2" t="s">
        <v>2</v>
      </c>
      <c r="AB106" s="2"/>
      <c r="AC106" s="2" t="s">
        <v>2</v>
      </c>
      <c r="AD106" s="2" t="s">
        <v>2</v>
      </c>
      <c r="AE106" s="2" t="s">
        <v>2</v>
      </c>
      <c r="AF106" s="2" t="s">
        <v>2</v>
      </c>
      <c r="AG106" s="2" t="s">
        <v>2</v>
      </c>
      <c r="AH106" s="2" t="s">
        <v>2</v>
      </c>
      <c r="AI106" s="2"/>
      <c r="AJ106" s="2" t="s">
        <v>2</v>
      </c>
      <c r="AK106" s="2" t="s">
        <v>2</v>
      </c>
      <c r="AL106" s="2" t="s">
        <v>2</v>
      </c>
      <c r="AM106" s="2" t="s">
        <v>2</v>
      </c>
      <c r="AN106" s="2" t="s">
        <v>2</v>
      </c>
      <c r="AO106" s="2" t="s">
        <v>2</v>
      </c>
      <c r="AP106" s="2"/>
      <c r="AQ106" s="2" t="s">
        <v>2</v>
      </c>
      <c r="AR106" s="2" t="s">
        <v>5</v>
      </c>
    </row>
    <row r="107" spans="2:44" ht="14.25">
      <c r="B107" s="28" t="s">
        <v>143</v>
      </c>
      <c r="C107" s="22" t="s">
        <v>150</v>
      </c>
      <c r="D107" s="26" t="s">
        <v>36</v>
      </c>
      <c r="F107" s="10">
        <f t="shared" si="24"/>
        <v>24</v>
      </c>
      <c r="G107" s="10">
        <f t="shared" si="25"/>
        <v>0</v>
      </c>
      <c r="H107" s="10">
        <f t="shared" si="26"/>
        <v>0</v>
      </c>
      <c r="I107" s="10">
        <f t="shared" si="27"/>
        <v>0</v>
      </c>
      <c r="J107" s="10">
        <f t="shared" si="28"/>
        <v>0</v>
      </c>
      <c r="K107" s="10">
        <f t="shared" si="29"/>
        <v>0</v>
      </c>
      <c r="L107" s="10">
        <f t="shared" si="30"/>
        <v>0</v>
      </c>
      <c r="M107" s="10">
        <f t="shared" si="31"/>
        <v>0</v>
      </c>
      <c r="O107" s="2" t="s">
        <v>2</v>
      </c>
      <c r="P107" s="2" t="s">
        <v>2</v>
      </c>
      <c r="Q107" s="2" t="s">
        <v>2</v>
      </c>
      <c r="R107" s="2" t="s">
        <v>2</v>
      </c>
      <c r="S107" s="2"/>
      <c r="T107" s="2"/>
      <c r="U107" s="2"/>
      <c r="V107" s="2" t="s">
        <v>2</v>
      </c>
      <c r="W107" s="2" t="s">
        <v>2</v>
      </c>
      <c r="X107" s="2" t="s">
        <v>2</v>
      </c>
      <c r="Y107" s="2" t="s">
        <v>2</v>
      </c>
      <c r="Z107" s="2" t="s">
        <v>2</v>
      </c>
      <c r="AA107" s="2" t="s">
        <v>2</v>
      </c>
      <c r="AB107" s="2"/>
      <c r="AC107" s="2" t="s">
        <v>2</v>
      </c>
      <c r="AD107" s="2" t="s">
        <v>2</v>
      </c>
      <c r="AE107" s="2" t="s">
        <v>2</v>
      </c>
      <c r="AF107" s="2" t="s">
        <v>2</v>
      </c>
      <c r="AG107" s="2" t="s">
        <v>2</v>
      </c>
      <c r="AH107" s="2" t="s">
        <v>2</v>
      </c>
      <c r="AI107" s="2"/>
      <c r="AJ107" s="2" t="s">
        <v>2</v>
      </c>
      <c r="AK107" s="2" t="s">
        <v>2</v>
      </c>
      <c r="AL107" s="2" t="s">
        <v>2</v>
      </c>
      <c r="AM107" s="2" t="s">
        <v>2</v>
      </c>
      <c r="AN107" s="2" t="s">
        <v>2</v>
      </c>
      <c r="AO107" s="2" t="s">
        <v>2</v>
      </c>
      <c r="AP107" s="2"/>
      <c r="AQ107" s="2" t="s">
        <v>2</v>
      </c>
      <c r="AR107" s="2" t="s">
        <v>2</v>
      </c>
    </row>
    <row r="108" spans="2:44" ht="14.25">
      <c r="B108" s="28" t="s">
        <v>143</v>
      </c>
      <c r="C108" s="22" t="s">
        <v>137</v>
      </c>
      <c r="D108" s="26" t="s">
        <v>40</v>
      </c>
      <c r="F108" s="10">
        <f t="shared" si="24"/>
        <v>14</v>
      </c>
      <c r="G108" s="10">
        <f t="shared" si="25"/>
        <v>0</v>
      </c>
      <c r="H108" s="10">
        <f t="shared" si="26"/>
        <v>0</v>
      </c>
      <c r="I108" s="10">
        <f t="shared" si="27"/>
        <v>0</v>
      </c>
      <c r="J108" s="10">
        <f t="shared" si="28"/>
        <v>0</v>
      </c>
      <c r="K108" s="10">
        <f t="shared" si="29"/>
        <v>0</v>
      </c>
      <c r="L108" s="10">
        <f t="shared" si="30"/>
        <v>0</v>
      </c>
      <c r="M108" s="10">
        <f t="shared" si="31"/>
        <v>0</v>
      </c>
      <c r="O108" s="53"/>
      <c r="P108" s="52"/>
      <c r="Q108" s="52"/>
      <c r="R108" s="52"/>
      <c r="S108" s="2"/>
      <c r="T108" s="2"/>
      <c r="U108" s="2"/>
      <c r="V108" s="52"/>
      <c r="W108" s="52"/>
      <c r="X108" s="52"/>
      <c r="Y108" s="52"/>
      <c r="Z108" s="52"/>
      <c r="AA108" s="52"/>
      <c r="AB108" s="54"/>
      <c r="AC108" s="54" t="s">
        <v>2</v>
      </c>
      <c r="AD108" s="54" t="s">
        <v>2</v>
      </c>
      <c r="AE108" s="54" t="s">
        <v>2</v>
      </c>
      <c r="AF108" s="54" t="s">
        <v>2</v>
      </c>
      <c r="AG108" s="54" t="s">
        <v>2</v>
      </c>
      <c r="AH108" s="54" t="s">
        <v>2</v>
      </c>
      <c r="AI108" s="54"/>
      <c r="AJ108" s="54" t="s">
        <v>2</v>
      </c>
      <c r="AK108" s="54" t="s">
        <v>2</v>
      </c>
      <c r="AL108" s="54" t="s">
        <v>2</v>
      </c>
      <c r="AM108" s="54" t="s">
        <v>2</v>
      </c>
      <c r="AN108" s="54" t="s">
        <v>2</v>
      </c>
      <c r="AO108" s="54" t="s">
        <v>2</v>
      </c>
      <c r="AP108" s="54"/>
      <c r="AQ108" s="54" t="s">
        <v>2</v>
      </c>
      <c r="AR108" s="54" t="s">
        <v>2</v>
      </c>
    </row>
    <row r="109" spans="2:44" ht="14.25">
      <c r="B109" s="28" t="s">
        <v>143</v>
      </c>
      <c r="C109" s="22" t="s">
        <v>151</v>
      </c>
      <c r="D109" s="26" t="s">
        <v>40</v>
      </c>
      <c r="F109" s="10">
        <f t="shared" si="24"/>
        <v>24</v>
      </c>
      <c r="G109" s="10">
        <f t="shared" si="25"/>
        <v>0</v>
      </c>
      <c r="H109" s="10">
        <f t="shared" si="26"/>
        <v>0</v>
      </c>
      <c r="I109" s="10">
        <f t="shared" si="27"/>
        <v>0</v>
      </c>
      <c r="J109" s="10">
        <f t="shared" si="28"/>
        <v>0</v>
      </c>
      <c r="K109" s="10">
        <f t="shared" si="29"/>
        <v>0</v>
      </c>
      <c r="L109" s="10">
        <f t="shared" si="30"/>
        <v>0</v>
      </c>
      <c r="M109" s="10">
        <f t="shared" si="31"/>
        <v>0</v>
      </c>
      <c r="O109" s="2" t="s">
        <v>2</v>
      </c>
      <c r="P109" s="2" t="s">
        <v>2</v>
      </c>
      <c r="Q109" s="2" t="s">
        <v>2</v>
      </c>
      <c r="R109" s="2" t="s">
        <v>2</v>
      </c>
      <c r="S109" s="2"/>
      <c r="T109" s="2"/>
      <c r="U109" s="2"/>
      <c r="V109" s="2" t="s">
        <v>2</v>
      </c>
      <c r="W109" s="2" t="s">
        <v>2</v>
      </c>
      <c r="X109" s="2" t="s">
        <v>2</v>
      </c>
      <c r="Y109" s="2" t="s">
        <v>2</v>
      </c>
      <c r="Z109" s="2" t="s">
        <v>2</v>
      </c>
      <c r="AA109" s="2" t="s">
        <v>2</v>
      </c>
      <c r="AB109" s="2"/>
      <c r="AC109" s="2" t="s">
        <v>2</v>
      </c>
      <c r="AD109" s="2" t="s">
        <v>2</v>
      </c>
      <c r="AE109" s="2" t="s">
        <v>2</v>
      </c>
      <c r="AF109" s="2" t="s">
        <v>2</v>
      </c>
      <c r="AG109" s="2" t="s">
        <v>2</v>
      </c>
      <c r="AH109" s="2" t="s">
        <v>2</v>
      </c>
      <c r="AI109" s="2"/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 t="s">
        <v>2</v>
      </c>
      <c r="AP109" s="2"/>
      <c r="AQ109" s="2" t="s">
        <v>2</v>
      </c>
      <c r="AR109" s="2" t="s">
        <v>2</v>
      </c>
    </row>
    <row r="110" spans="2:44" ht="14.25">
      <c r="B110" s="28" t="s">
        <v>143</v>
      </c>
      <c r="C110" s="22" t="s">
        <v>152</v>
      </c>
      <c r="D110" s="26" t="s">
        <v>40</v>
      </c>
      <c r="F110" s="10">
        <f t="shared" si="24"/>
        <v>14</v>
      </c>
      <c r="G110" s="10">
        <f t="shared" si="25"/>
        <v>0</v>
      </c>
      <c r="H110" s="10">
        <f t="shared" si="26"/>
        <v>1</v>
      </c>
      <c r="I110" s="10">
        <f t="shared" si="27"/>
        <v>0</v>
      </c>
      <c r="J110" s="10">
        <f t="shared" si="28"/>
        <v>0</v>
      </c>
      <c r="K110" s="10">
        <f t="shared" si="29"/>
        <v>0</v>
      </c>
      <c r="L110" s="10">
        <f t="shared" si="30"/>
        <v>0</v>
      </c>
      <c r="M110" s="10">
        <f t="shared" si="31"/>
        <v>0</v>
      </c>
      <c r="O110" s="52"/>
      <c r="P110" s="52"/>
      <c r="Q110" s="52"/>
      <c r="R110" s="52"/>
      <c r="S110" s="54"/>
      <c r="T110" s="54"/>
      <c r="U110" s="54"/>
      <c r="V110" s="52"/>
      <c r="W110" s="52"/>
      <c r="X110" s="52"/>
      <c r="Y110" s="52"/>
      <c r="Z110" s="52"/>
      <c r="AA110" s="54" t="s">
        <v>2</v>
      </c>
      <c r="AB110" s="54"/>
      <c r="AC110" s="54" t="s">
        <v>2</v>
      </c>
      <c r="AD110" s="54" t="s">
        <v>2</v>
      </c>
      <c r="AE110" s="54" t="s">
        <v>2</v>
      </c>
      <c r="AF110" s="54" t="s">
        <v>2</v>
      </c>
      <c r="AG110" s="54" t="s">
        <v>2</v>
      </c>
      <c r="AH110" s="54" t="s">
        <v>2</v>
      </c>
      <c r="AI110" s="54"/>
      <c r="AJ110" s="54" t="s">
        <v>2</v>
      </c>
      <c r="AK110" s="54" t="s">
        <v>2</v>
      </c>
      <c r="AL110" s="54" t="s">
        <v>2</v>
      </c>
      <c r="AM110" s="54" t="s">
        <v>2</v>
      </c>
      <c r="AN110" s="54" t="s">
        <v>2</v>
      </c>
      <c r="AO110" s="54" t="s">
        <v>2</v>
      </c>
      <c r="AP110" s="54"/>
      <c r="AQ110" s="54" t="s">
        <v>2</v>
      </c>
      <c r="AR110" s="54" t="s">
        <v>4</v>
      </c>
    </row>
    <row r="111" spans="2:44" ht="14.25">
      <c r="B111" s="28" t="s">
        <v>143</v>
      </c>
      <c r="C111" s="22" t="s">
        <v>153</v>
      </c>
      <c r="D111" s="26" t="s">
        <v>47</v>
      </c>
      <c r="F111" s="10">
        <f t="shared" si="24"/>
        <v>21</v>
      </c>
      <c r="G111" s="10">
        <f t="shared" si="25"/>
        <v>0</v>
      </c>
      <c r="H111" s="10">
        <f t="shared" si="26"/>
        <v>0</v>
      </c>
      <c r="I111" s="10">
        <f t="shared" si="27"/>
        <v>3</v>
      </c>
      <c r="J111" s="10">
        <f t="shared" si="28"/>
        <v>0</v>
      </c>
      <c r="K111" s="10">
        <f t="shared" si="29"/>
        <v>0</v>
      </c>
      <c r="L111" s="10">
        <f t="shared" si="30"/>
        <v>0</v>
      </c>
      <c r="M111" s="10">
        <f t="shared" si="31"/>
        <v>0</v>
      </c>
      <c r="O111" s="2" t="s">
        <v>2</v>
      </c>
      <c r="P111" s="2" t="s">
        <v>2</v>
      </c>
      <c r="Q111" s="2" t="s">
        <v>5</v>
      </c>
      <c r="R111" s="2" t="s">
        <v>2</v>
      </c>
      <c r="S111" s="2"/>
      <c r="T111" s="2"/>
      <c r="U111" s="2"/>
      <c r="V111" s="2" t="s">
        <v>5</v>
      </c>
      <c r="W111" s="2" t="s">
        <v>5</v>
      </c>
      <c r="X111" s="2" t="s">
        <v>2</v>
      </c>
      <c r="Y111" s="2" t="s">
        <v>2</v>
      </c>
      <c r="Z111" s="2" t="s">
        <v>2</v>
      </c>
      <c r="AA111" s="2" t="s">
        <v>2</v>
      </c>
      <c r="AB111" s="2"/>
      <c r="AC111" s="2" t="s">
        <v>2</v>
      </c>
      <c r="AD111" s="2" t="s">
        <v>2</v>
      </c>
      <c r="AE111" s="2" t="s">
        <v>2</v>
      </c>
      <c r="AF111" s="2" t="s">
        <v>2</v>
      </c>
      <c r="AG111" s="2" t="s">
        <v>2</v>
      </c>
      <c r="AH111" s="2" t="s">
        <v>2</v>
      </c>
      <c r="AI111" s="2"/>
      <c r="AJ111" s="2" t="s">
        <v>2</v>
      </c>
      <c r="AK111" s="2" t="s">
        <v>2</v>
      </c>
      <c r="AL111" s="2" t="s">
        <v>2</v>
      </c>
      <c r="AM111" s="2" t="s">
        <v>2</v>
      </c>
      <c r="AN111" s="2" t="s">
        <v>2</v>
      </c>
      <c r="AO111" s="2" t="s">
        <v>2</v>
      </c>
      <c r="AP111" s="2"/>
      <c r="AQ111" s="2" t="s">
        <v>2</v>
      </c>
      <c r="AR111" s="2" t="s">
        <v>2</v>
      </c>
    </row>
    <row r="112" spans="2:44" ht="14.25">
      <c r="B112" s="60" t="s">
        <v>143</v>
      </c>
      <c r="C112" s="61" t="s">
        <v>154</v>
      </c>
      <c r="D112" s="62" t="s">
        <v>47</v>
      </c>
      <c r="F112" s="10">
        <f t="shared" si="24"/>
        <v>10</v>
      </c>
      <c r="G112" s="10">
        <f t="shared" si="25"/>
        <v>0</v>
      </c>
      <c r="H112" s="10">
        <f t="shared" si="26"/>
        <v>1</v>
      </c>
      <c r="I112" s="10">
        <f t="shared" si="27"/>
        <v>1</v>
      </c>
      <c r="J112" s="10">
        <f t="shared" si="28"/>
        <v>0</v>
      </c>
      <c r="K112" s="10">
        <f t="shared" si="29"/>
        <v>0</v>
      </c>
      <c r="L112" s="10">
        <f t="shared" si="30"/>
        <v>0</v>
      </c>
      <c r="M112" s="10">
        <f t="shared" si="31"/>
        <v>0</v>
      </c>
      <c r="O112" s="2" t="s">
        <v>5</v>
      </c>
      <c r="P112" s="2" t="s">
        <v>2</v>
      </c>
      <c r="Q112" s="2" t="s">
        <v>2</v>
      </c>
      <c r="R112" s="2" t="s">
        <v>4</v>
      </c>
      <c r="S112" s="2"/>
      <c r="T112" s="2"/>
      <c r="U112" s="2"/>
      <c r="V112" s="2" t="s">
        <v>2</v>
      </c>
      <c r="W112" s="2" t="s">
        <v>2</v>
      </c>
      <c r="X112" s="2" t="s">
        <v>2</v>
      </c>
      <c r="Y112" s="2" t="s">
        <v>2</v>
      </c>
      <c r="Z112" s="2" t="s">
        <v>2</v>
      </c>
      <c r="AA112" s="2" t="s">
        <v>2</v>
      </c>
      <c r="AB112" s="2"/>
      <c r="AC112" s="2" t="s">
        <v>2</v>
      </c>
      <c r="AD112" s="2" t="s">
        <v>2</v>
      </c>
      <c r="AE112" s="52"/>
      <c r="AF112" s="52"/>
      <c r="AG112" s="52"/>
      <c r="AH112" s="52"/>
      <c r="AI112" s="54"/>
      <c r="AJ112" s="52"/>
      <c r="AK112" s="52"/>
      <c r="AL112" s="52"/>
      <c r="AM112" s="52"/>
      <c r="AN112" s="52"/>
      <c r="AO112" s="52"/>
      <c r="AP112" s="54"/>
      <c r="AQ112" s="52"/>
      <c r="AR112" s="52"/>
    </row>
    <row r="113" spans="2:45" ht="14.25">
      <c r="B113" s="60" t="s">
        <v>143</v>
      </c>
      <c r="C113" s="61" t="s">
        <v>155</v>
      </c>
      <c r="D113" s="62" t="s">
        <v>44</v>
      </c>
      <c r="F113" s="10">
        <f t="shared" si="24"/>
        <v>12</v>
      </c>
      <c r="G113" s="10">
        <f t="shared" si="25"/>
        <v>0</v>
      </c>
      <c r="H113" s="10">
        <f t="shared" si="26"/>
        <v>3</v>
      </c>
      <c r="I113" s="10">
        <f t="shared" si="27"/>
        <v>0</v>
      </c>
      <c r="J113" s="10">
        <f t="shared" si="28"/>
        <v>0</v>
      </c>
      <c r="K113" s="10">
        <f t="shared" si="29"/>
        <v>0</v>
      </c>
      <c r="L113" s="10">
        <f t="shared" si="30"/>
        <v>0</v>
      </c>
      <c r="M113" s="10">
        <f t="shared" si="31"/>
        <v>0</v>
      </c>
      <c r="O113" s="2" t="s">
        <v>2</v>
      </c>
      <c r="P113" s="2" t="s">
        <v>2</v>
      </c>
      <c r="Q113" s="2" t="s">
        <v>2</v>
      </c>
      <c r="R113" s="2" t="s">
        <v>2</v>
      </c>
      <c r="S113" s="2"/>
      <c r="T113" s="2"/>
      <c r="U113" s="2"/>
      <c r="V113" s="2" t="s">
        <v>2</v>
      </c>
      <c r="W113" s="2" t="s">
        <v>2</v>
      </c>
      <c r="X113" s="2" t="s">
        <v>2</v>
      </c>
      <c r="Y113" s="2" t="s">
        <v>4</v>
      </c>
      <c r="Z113" s="2" t="s">
        <v>2</v>
      </c>
      <c r="AA113" s="2" t="s">
        <v>2</v>
      </c>
      <c r="AB113" s="2"/>
      <c r="AC113" s="2" t="s">
        <v>2</v>
      </c>
      <c r="AD113" s="2" t="s">
        <v>2</v>
      </c>
      <c r="AE113" s="2" t="s">
        <v>2</v>
      </c>
      <c r="AF113" s="2" t="s">
        <v>4</v>
      </c>
      <c r="AG113" s="2" t="s">
        <v>4</v>
      </c>
      <c r="AH113" s="52"/>
      <c r="AI113" s="2"/>
      <c r="AJ113" s="52"/>
      <c r="AK113" s="52"/>
      <c r="AL113" s="52"/>
      <c r="AM113" s="52"/>
      <c r="AN113" s="52"/>
      <c r="AO113" s="52"/>
      <c r="AP113" s="2"/>
      <c r="AQ113" s="52"/>
      <c r="AR113" s="52"/>
    </row>
    <row r="114" spans="2:45" ht="14.25">
      <c r="B114" s="60" t="s">
        <v>143</v>
      </c>
      <c r="C114" s="61" t="s">
        <v>156</v>
      </c>
      <c r="D114" s="62" t="s">
        <v>44</v>
      </c>
      <c r="F114" s="10">
        <f t="shared" si="24"/>
        <v>4</v>
      </c>
      <c r="G114" s="10">
        <f t="shared" si="25"/>
        <v>0</v>
      </c>
      <c r="H114" s="10">
        <f t="shared" si="26"/>
        <v>14</v>
      </c>
      <c r="I114" s="10">
        <f t="shared" si="27"/>
        <v>1</v>
      </c>
      <c r="J114" s="10">
        <f t="shared" si="28"/>
        <v>0</v>
      </c>
      <c r="K114" s="10">
        <f t="shared" si="29"/>
        <v>0</v>
      </c>
      <c r="L114" s="10">
        <f t="shared" si="30"/>
        <v>0</v>
      </c>
      <c r="M114" s="10">
        <f t="shared" si="31"/>
        <v>0</v>
      </c>
      <c r="O114" s="2" t="s">
        <v>4</v>
      </c>
      <c r="P114" s="2" t="s">
        <v>4</v>
      </c>
      <c r="Q114" s="2" t="s">
        <v>4</v>
      </c>
      <c r="R114" s="2" t="s">
        <v>2</v>
      </c>
      <c r="S114" s="2"/>
      <c r="T114" s="2"/>
      <c r="U114" s="2"/>
      <c r="V114" s="2" t="s">
        <v>2</v>
      </c>
      <c r="W114" s="2" t="s">
        <v>5</v>
      </c>
      <c r="X114" s="2" t="s">
        <v>2</v>
      </c>
      <c r="Y114" s="2" t="s">
        <v>2</v>
      </c>
      <c r="Z114" s="2" t="s">
        <v>4</v>
      </c>
      <c r="AA114" s="2" t="s">
        <v>4</v>
      </c>
      <c r="AB114" s="2"/>
      <c r="AC114" s="2" t="s">
        <v>4</v>
      </c>
      <c r="AD114" s="2" t="s">
        <v>4</v>
      </c>
      <c r="AE114" s="2" t="s">
        <v>4</v>
      </c>
      <c r="AF114" s="2" t="s">
        <v>4</v>
      </c>
      <c r="AG114" s="2" t="s">
        <v>4</v>
      </c>
      <c r="AH114" s="2" t="s">
        <v>4</v>
      </c>
      <c r="AI114" s="2"/>
      <c r="AJ114" s="2" t="s">
        <v>4</v>
      </c>
      <c r="AK114" s="2" t="s">
        <v>4</v>
      </c>
      <c r="AL114" s="2" t="s">
        <v>4</v>
      </c>
      <c r="AM114" s="52"/>
      <c r="AN114" s="52"/>
      <c r="AO114" s="52"/>
      <c r="AP114" s="52"/>
      <c r="AQ114" s="52"/>
      <c r="AR114" s="52"/>
    </row>
    <row r="115" spans="2:45" ht="14.25">
      <c r="B115" s="28" t="s">
        <v>143</v>
      </c>
      <c r="C115" s="22" t="s">
        <v>157</v>
      </c>
      <c r="D115" s="26" t="s">
        <v>44</v>
      </c>
      <c r="F115" s="10">
        <f t="shared" si="24"/>
        <v>15</v>
      </c>
      <c r="G115" s="10">
        <f t="shared" si="25"/>
        <v>0</v>
      </c>
      <c r="H115" s="10">
        <f t="shared" si="26"/>
        <v>0</v>
      </c>
      <c r="I115" s="10">
        <f t="shared" si="27"/>
        <v>0</v>
      </c>
      <c r="J115" s="10">
        <f t="shared" si="28"/>
        <v>0</v>
      </c>
      <c r="K115" s="10">
        <f t="shared" si="29"/>
        <v>0</v>
      </c>
      <c r="L115" s="10">
        <f t="shared" si="30"/>
        <v>0</v>
      </c>
      <c r="M115" s="10">
        <f t="shared" si="31"/>
        <v>0</v>
      </c>
      <c r="O115" s="53"/>
      <c r="P115" s="53"/>
      <c r="Q115" s="53"/>
      <c r="R115" s="52"/>
      <c r="S115" s="2"/>
      <c r="T115" s="2"/>
      <c r="U115" s="2"/>
      <c r="V115" s="52"/>
      <c r="W115" s="53"/>
      <c r="X115" s="52"/>
      <c r="Y115" s="52"/>
      <c r="Z115" s="52"/>
      <c r="AA115" s="2" t="s">
        <v>2</v>
      </c>
      <c r="AB115" s="2"/>
      <c r="AC115" s="2" t="s">
        <v>2</v>
      </c>
      <c r="AD115" s="2" t="s">
        <v>2</v>
      </c>
      <c r="AE115" s="2" t="s">
        <v>2</v>
      </c>
      <c r="AF115" s="2" t="s">
        <v>2</v>
      </c>
      <c r="AG115" s="2" t="s">
        <v>2</v>
      </c>
      <c r="AH115" s="2" t="s">
        <v>2</v>
      </c>
      <c r="AI115" s="2"/>
      <c r="AJ115" s="2" t="s">
        <v>2</v>
      </c>
      <c r="AK115" s="2" t="s">
        <v>2</v>
      </c>
      <c r="AL115" s="2" t="s">
        <v>2</v>
      </c>
      <c r="AM115" s="2" t="s">
        <v>2</v>
      </c>
      <c r="AN115" s="2" t="s">
        <v>2</v>
      </c>
      <c r="AO115" s="2" t="s">
        <v>2</v>
      </c>
      <c r="AP115" s="2"/>
      <c r="AQ115" s="2" t="s">
        <v>2</v>
      </c>
      <c r="AR115" s="2" t="s">
        <v>2</v>
      </c>
    </row>
    <row r="116" spans="2:45" ht="14.25">
      <c r="B116" s="28" t="s">
        <v>143</v>
      </c>
      <c r="C116" s="22" t="s">
        <v>158</v>
      </c>
      <c r="D116" s="26" t="s">
        <v>40</v>
      </c>
      <c r="F116" s="10">
        <f t="shared" si="24"/>
        <v>23</v>
      </c>
      <c r="G116" s="10">
        <f t="shared" si="25"/>
        <v>0</v>
      </c>
      <c r="H116" s="10">
        <f t="shared" si="26"/>
        <v>0</v>
      </c>
      <c r="I116" s="10">
        <f t="shared" si="27"/>
        <v>1</v>
      </c>
      <c r="J116" s="10">
        <f t="shared" si="28"/>
        <v>0</v>
      </c>
      <c r="K116" s="10">
        <f t="shared" si="29"/>
        <v>0</v>
      </c>
      <c r="L116" s="10">
        <f t="shared" si="30"/>
        <v>0</v>
      </c>
      <c r="M116" s="10">
        <f t="shared" si="31"/>
        <v>0</v>
      </c>
      <c r="O116" s="2" t="s">
        <v>2</v>
      </c>
      <c r="P116" s="2" t="s">
        <v>2</v>
      </c>
      <c r="Q116" s="2" t="s">
        <v>2</v>
      </c>
      <c r="R116" s="2" t="s">
        <v>2</v>
      </c>
      <c r="S116" s="2"/>
      <c r="T116" s="2"/>
      <c r="U116" s="2"/>
      <c r="V116" s="2" t="s">
        <v>2</v>
      </c>
      <c r="W116" s="2" t="s">
        <v>2</v>
      </c>
      <c r="X116" s="2" t="s">
        <v>2</v>
      </c>
      <c r="Y116" s="2" t="s">
        <v>5</v>
      </c>
      <c r="Z116" s="2" t="s">
        <v>2</v>
      </c>
      <c r="AA116" s="2" t="s">
        <v>2</v>
      </c>
      <c r="AB116" s="2"/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/>
      <c r="AJ116" s="2" t="s">
        <v>2</v>
      </c>
      <c r="AK116" s="2" t="s">
        <v>2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/>
      <c r="AQ116" s="2" t="s">
        <v>2</v>
      </c>
      <c r="AR116" s="2" t="s">
        <v>2</v>
      </c>
    </row>
    <row r="117" spans="2:45" ht="14.25" hidden="1">
      <c r="B117" s="28" t="s">
        <v>97</v>
      </c>
      <c r="C117" s="22" t="s">
        <v>73</v>
      </c>
      <c r="D117" s="26" t="s">
        <v>49</v>
      </c>
      <c r="F117" s="10">
        <f t="shared" si="24"/>
        <v>7</v>
      </c>
      <c r="G117" s="10">
        <f t="shared" si="25"/>
        <v>0</v>
      </c>
      <c r="H117" s="10">
        <f t="shared" si="26"/>
        <v>0</v>
      </c>
      <c r="I117" s="10">
        <f t="shared" si="27"/>
        <v>0</v>
      </c>
      <c r="J117" s="10">
        <f t="shared" si="28"/>
        <v>0</v>
      </c>
      <c r="K117" s="10">
        <f t="shared" si="29"/>
        <v>0</v>
      </c>
      <c r="L117" s="10">
        <f t="shared" si="30"/>
        <v>0</v>
      </c>
      <c r="M117" s="10">
        <f t="shared" si="31"/>
        <v>0</v>
      </c>
      <c r="O117" s="52"/>
      <c r="P117" s="52"/>
      <c r="Q117" s="52"/>
      <c r="R117" s="52"/>
      <c r="S117" s="2"/>
      <c r="T117" s="2"/>
      <c r="U117" s="2"/>
      <c r="V117" s="52"/>
      <c r="W117" s="52"/>
      <c r="X117" s="52"/>
      <c r="Y117" s="52"/>
      <c r="Z117" s="52"/>
      <c r="AA117" s="52"/>
      <c r="AB117" s="2"/>
      <c r="AC117" s="52"/>
      <c r="AD117" s="52"/>
      <c r="AE117" s="52"/>
      <c r="AF117" s="52"/>
      <c r="AG117" s="52"/>
      <c r="AH117" s="52"/>
      <c r="AI117" s="2"/>
      <c r="AJ117" s="2" t="s">
        <v>2</v>
      </c>
      <c r="AK117" s="2" t="s">
        <v>2</v>
      </c>
      <c r="AL117" s="2" t="s">
        <v>2</v>
      </c>
      <c r="AM117" s="2" t="s">
        <v>2</v>
      </c>
      <c r="AN117" s="2" t="s">
        <v>2</v>
      </c>
      <c r="AO117" s="2"/>
      <c r="AP117" s="2"/>
      <c r="AQ117" s="2" t="s">
        <v>2</v>
      </c>
      <c r="AR117" s="2" t="s">
        <v>2</v>
      </c>
    </row>
    <row r="118" spans="2:45" ht="14.25" hidden="1">
      <c r="B118" s="28" t="s">
        <v>97</v>
      </c>
      <c r="C118" s="22" t="s">
        <v>43</v>
      </c>
      <c r="D118" s="26" t="s">
        <v>49</v>
      </c>
      <c r="F118" s="10">
        <f t="shared" si="24"/>
        <v>7</v>
      </c>
      <c r="G118" s="10">
        <f t="shared" si="25"/>
        <v>0</v>
      </c>
      <c r="H118" s="10">
        <f t="shared" si="26"/>
        <v>0</v>
      </c>
      <c r="I118" s="10">
        <f t="shared" si="27"/>
        <v>0</v>
      </c>
      <c r="J118" s="10">
        <f t="shared" si="28"/>
        <v>0</v>
      </c>
      <c r="K118" s="10">
        <f t="shared" si="29"/>
        <v>0</v>
      </c>
      <c r="L118" s="10">
        <f t="shared" si="30"/>
        <v>0</v>
      </c>
      <c r="M118" s="10">
        <f t="shared" si="31"/>
        <v>0</v>
      </c>
      <c r="O118" s="52"/>
      <c r="P118" s="52"/>
      <c r="Q118" s="52"/>
      <c r="R118" s="52"/>
      <c r="S118" s="2"/>
      <c r="T118" s="2"/>
      <c r="U118" s="2"/>
      <c r="V118" s="52"/>
      <c r="W118" s="52"/>
      <c r="X118" s="52"/>
      <c r="Y118" s="52"/>
      <c r="Z118" s="52"/>
      <c r="AA118" s="52"/>
      <c r="AB118" s="2"/>
      <c r="AC118" s="52"/>
      <c r="AD118" s="52"/>
      <c r="AE118" s="52"/>
      <c r="AF118" s="52"/>
      <c r="AG118" s="52"/>
      <c r="AH118" s="52"/>
      <c r="AI118" s="2"/>
      <c r="AJ118" s="2" t="s">
        <v>2</v>
      </c>
      <c r="AK118" s="2" t="s">
        <v>2</v>
      </c>
      <c r="AL118" s="2" t="s">
        <v>2</v>
      </c>
      <c r="AM118" s="2" t="s">
        <v>2</v>
      </c>
      <c r="AN118" s="2" t="s">
        <v>2</v>
      </c>
      <c r="AO118" s="2"/>
      <c r="AP118" s="2"/>
      <c r="AQ118" s="2" t="s">
        <v>2</v>
      </c>
      <c r="AR118" s="2" t="s">
        <v>2</v>
      </c>
    </row>
    <row r="119" spans="2:45" s="25" customFormat="1">
      <c r="F119" s="27">
        <f t="shared" ref="F119:M119" si="32">SUM(F6:F118)</f>
        <v>2090</v>
      </c>
      <c r="G119" s="27">
        <f t="shared" si="32"/>
        <v>0</v>
      </c>
      <c r="H119" s="27">
        <f t="shared" si="32"/>
        <v>24</v>
      </c>
      <c r="I119" s="27">
        <f t="shared" si="32"/>
        <v>69</v>
      </c>
      <c r="J119" s="27">
        <f t="shared" si="32"/>
        <v>20</v>
      </c>
      <c r="K119" s="27">
        <f t="shared" si="32"/>
        <v>0</v>
      </c>
      <c r="L119" s="27">
        <f t="shared" si="32"/>
        <v>2</v>
      </c>
      <c r="M119" s="27">
        <f t="shared" si="32"/>
        <v>7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1" spans="2:45">
      <c r="O121" s="3">
        <f t="shared" ref="O121:AR121" si="33">O5</f>
        <v>46174</v>
      </c>
      <c r="P121" s="3">
        <f t="shared" si="33"/>
        <v>46175</v>
      </c>
      <c r="Q121" s="3">
        <f t="shared" si="33"/>
        <v>46176</v>
      </c>
      <c r="R121" s="3">
        <f t="shared" si="33"/>
        <v>46177</v>
      </c>
      <c r="S121" s="3">
        <f t="shared" si="33"/>
        <v>46178</v>
      </c>
      <c r="T121" s="3">
        <f t="shared" si="33"/>
        <v>46179</v>
      </c>
      <c r="U121" s="3">
        <f t="shared" si="33"/>
        <v>46180</v>
      </c>
      <c r="V121" s="3">
        <f t="shared" si="33"/>
        <v>46181</v>
      </c>
      <c r="W121" s="3">
        <f t="shared" si="33"/>
        <v>46182</v>
      </c>
      <c r="X121" s="3">
        <f t="shared" si="33"/>
        <v>46183</v>
      </c>
      <c r="Y121" s="3">
        <f t="shared" si="33"/>
        <v>46184</v>
      </c>
      <c r="Z121" s="3">
        <f t="shared" si="33"/>
        <v>46185</v>
      </c>
      <c r="AA121" s="3">
        <f t="shared" si="33"/>
        <v>46186</v>
      </c>
      <c r="AB121" s="3">
        <f t="shared" si="33"/>
        <v>46187</v>
      </c>
      <c r="AC121" s="3">
        <f t="shared" si="33"/>
        <v>46188</v>
      </c>
      <c r="AD121" s="3">
        <f t="shared" si="33"/>
        <v>46189</v>
      </c>
      <c r="AE121" s="3">
        <f t="shared" si="33"/>
        <v>46190</v>
      </c>
      <c r="AF121" s="3">
        <f t="shared" si="33"/>
        <v>46191</v>
      </c>
      <c r="AG121" s="3">
        <f t="shared" si="33"/>
        <v>46192</v>
      </c>
      <c r="AH121" s="3">
        <f t="shared" si="33"/>
        <v>46193</v>
      </c>
      <c r="AI121" s="3">
        <f t="shared" si="33"/>
        <v>46194</v>
      </c>
      <c r="AJ121" s="3">
        <f t="shared" si="33"/>
        <v>46195</v>
      </c>
      <c r="AK121" s="3">
        <f t="shared" si="33"/>
        <v>46196</v>
      </c>
      <c r="AL121" s="3">
        <f t="shared" si="33"/>
        <v>46197</v>
      </c>
      <c r="AM121" s="3">
        <f t="shared" si="33"/>
        <v>46198</v>
      </c>
      <c r="AN121" s="3">
        <f t="shared" si="33"/>
        <v>46199</v>
      </c>
      <c r="AO121" s="3">
        <f t="shared" si="33"/>
        <v>46200</v>
      </c>
      <c r="AP121" s="3">
        <f t="shared" si="33"/>
        <v>46201</v>
      </c>
      <c r="AQ121" s="3">
        <f t="shared" si="33"/>
        <v>46202</v>
      </c>
      <c r="AR121" s="3">
        <f t="shared" si="33"/>
        <v>46203</v>
      </c>
    </row>
    <row r="122" spans="2:45">
      <c r="N122" s="2" t="s">
        <v>2</v>
      </c>
      <c r="O122" s="4">
        <f t="shared" ref="O122:AR122" si="34">COUNTIF(O6:O116,$N$122)</f>
        <v>99</v>
      </c>
      <c r="P122" s="4">
        <f t="shared" si="34"/>
        <v>99</v>
      </c>
      <c r="Q122" s="4">
        <f t="shared" si="34"/>
        <v>101</v>
      </c>
      <c r="R122" s="4">
        <f t="shared" si="34"/>
        <v>11</v>
      </c>
      <c r="S122" s="4">
        <f t="shared" si="34"/>
        <v>0</v>
      </c>
      <c r="T122" s="4">
        <f t="shared" si="34"/>
        <v>0</v>
      </c>
      <c r="U122" s="4">
        <f t="shared" si="34"/>
        <v>0</v>
      </c>
      <c r="V122" s="4">
        <f t="shared" si="34"/>
        <v>99</v>
      </c>
      <c r="W122" s="4">
        <f t="shared" si="34"/>
        <v>101</v>
      </c>
      <c r="X122" s="4">
        <f t="shared" si="34"/>
        <v>103</v>
      </c>
      <c r="Y122" s="4">
        <f t="shared" si="34"/>
        <v>104</v>
      </c>
      <c r="Z122" s="4">
        <f t="shared" si="34"/>
        <v>104</v>
      </c>
      <c r="AA122" s="4">
        <f t="shared" si="34"/>
        <v>14</v>
      </c>
      <c r="AB122" s="4">
        <f t="shared" si="34"/>
        <v>0</v>
      </c>
      <c r="AC122" s="4">
        <f t="shared" si="34"/>
        <v>106</v>
      </c>
      <c r="AD122" s="4">
        <f t="shared" si="34"/>
        <v>103</v>
      </c>
      <c r="AE122" s="4">
        <f t="shared" si="34"/>
        <v>101</v>
      </c>
      <c r="AF122" s="4">
        <f t="shared" si="34"/>
        <v>102</v>
      </c>
      <c r="AG122" s="4">
        <f t="shared" si="34"/>
        <v>101</v>
      </c>
      <c r="AH122" s="4">
        <f t="shared" si="34"/>
        <v>13</v>
      </c>
      <c r="AI122" s="4">
        <f t="shared" si="34"/>
        <v>0</v>
      </c>
      <c r="AJ122" s="4">
        <f t="shared" si="34"/>
        <v>103</v>
      </c>
      <c r="AK122" s="4">
        <f t="shared" si="34"/>
        <v>102</v>
      </c>
      <c r="AL122" s="4">
        <f t="shared" si="34"/>
        <v>102</v>
      </c>
      <c r="AM122" s="4">
        <f t="shared" si="34"/>
        <v>96</v>
      </c>
      <c r="AN122" s="4">
        <f t="shared" si="34"/>
        <v>96</v>
      </c>
      <c r="AO122" s="4">
        <f t="shared" si="34"/>
        <v>13</v>
      </c>
      <c r="AP122" s="4">
        <f t="shared" si="34"/>
        <v>0</v>
      </c>
      <c r="AQ122" s="4">
        <f t="shared" si="34"/>
        <v>103</v>
      </c>
      <c r="AR122" s="4">
        <f t="shared" si="34"/>
        <v>100</v>
      </c>
      <c r="AS122" s="1">
        <f>SUM(O122:AR122)</f>
        <v>2076</v>
      </c>
    </row>
    <row r="123" spans="2:45">
      <c r="N123" s="2" t="s">
        <v>3</v>
      </c>
      <c r="O123" s="4">
        <f t="shared" ref="O123:AR123" si="35">COUNTIF(O6:O116,$N$123)</f>
        <v>0</v>
      </c>
      <c r="P123" s="4">
        <f t="shared" si="35"/>
        <v>0</v>
      </c>
      <c r="Q123" s="4">
        <f t="shared" si="35"/>
        <v>0</v>
      </c>
      <c r="R123" s="4">
        <f t="shared" si="35"/>
        <v>0</v>
      </c>
      <c r="S123" s="4">
        <f t="shared" si="35"/>
        <v>0</v>
      </c>
      <c r="T123" s="4">
        <f t="shared" si="35"/>
        <v>0</v>
      </c>
      <c r="U123" s="4">
        <f t="shared" si="35"/>
        <v>0</v>
      </c>
      <c r="V123" s="4">
        <f t="shared" si="35"/>
        <v>0</v>
      </c>
      <c r="W123" s="4">
        <f t="shared" si="35"/>
        <v>0</v>
      </c>
      <c r="X123" s="4">
        <f t="shared" si="35"/>
        <v>0</v>
      </c>
      <c r="Y123" s="4">
        <f t="shared" si="35"/>
        <v>0</v>
      </c>
      <c r="Z123" s="4">
        <f t="shared" si="35"/>
        <v>0</v>
      </c>
      <c r="AA123" s="4">
        <f t="shared" si="35"/>
        <v>0</v>
      </c>
      <c r="AB123" s="4">
        <f t="shared" si="35"/>
        <v>0</v>
      </c>
      <c r="AC123" s="4">
        <f t="shared" si="35"/>
        <v>0</v>
      </c>
      <c r="AD123" s="4">
        <f t="shared" si="35"/>
        <v>0</v>
      </c>
      <c r="AE123" s="4">
        <f t="shared" si="35"/>
        <v>0</v>
      </c>
      <c r="AF123" s="4">
        <f t="shared" si="35"/>
        <v>0</v>
      </c>
      <c r="AG123" s="4">
        <f t="shared" si="35"/>
        <v>0</v>
      </c>
      <c r="AH123" s="4">
        <f t="shared" si="35"/>
        <v>0</v>
      </c>
      <c r="AI123" s="4">
        <f t="shared" si="35"/>
        <v>0</v>
      </c>
      <c r="AJ123" s="4">
        <f t="shared" si="35"/>
        <v>0</v>
      </c>
      <c r="AK123" s="4">
        <f t="shared" si="35"/>
        <v>0</v>
      </c>
      <c r="AL123" s="4">
        <f t="shared" si="35"/>
        <v>0</v>
      </c>
      <c r="AM123" s="4">
        <f t="shared" si="35"/>
        <v>0</v>
      </c>
      <c r="AN123" s="4">
        <f t="shared" si="35"/>
        <v>0</v>
      </c>
      <c r="AO123" s="4">
        <f t="shared" si="35"/>
        <v>0</v>
      </c>
      <c r="AP123" s="4">
        <f t="shared" si="35"/>
        <v>0</v>
      </c>
      <c r="AQ123" s="4">
        <f t="shared" si="35"/>
        <v>0</v>
      </c>
      <c r="AR123" s="4">
        <f t="shared" si="35"/>
        <v>0</v>
      </c>
      <c r="AS123" s="1">
        <f t="shared" ref="AS123:AS129" si="36">SUM(O123:AR123)</f>
        <v>0</v>
      </c>
    </row>
    <row r="124" spans="2:45">
      <c r="N124" s="2" t="s">
        <v>4</v>
      </c>
      <c r="O124" s="6">
        <f t="shared" ref="O124:AR124" si="37">COUNTIF(O6:O116,$N$124)</f>
        <v>1</v>
      </c>
      <c r="P124" s="6">
        <f t="shared" si="37"/>
        <v>1</v>
      </c>
      <c r="Q124" s="6">
        <f t="shared" si="37"/>
        <v>1</v>
      </c>
      <c r="R124" s="6">
        <f t="shared" si="37"/>
        <v>2</v>
      </c>
      <c r="S124" s="6">
        <f t="shared" si="37"/>
        <v>0</v>
      </c>
      <c r="T124" s="6">
        <f t="shared" si="37"/>
        <v>0</v>
      </c>
      <c r="U124" s="6">
        <f t="shared" si="37"/>
        <v>0</v>
      </c>
      <c r="V124" s="6">
        <f t="shared" si="37"/>
        <v>0</v>
      </c>
      <c r="W124" s="6">
        <f t="shared" si="37"/>
        <v>0</v>
      </c>
      <c r="X124" s="6">
        <f t="shared" si="37"/>
        <v>0</v>
      </c>
      <c r="Y124" s="6">
        <f t="shared" si="37"/>
        <v>1</v>
      </c>
      <c r="Z124" s="6">
        <f t="shared" si="37"/>
        <v>1</v>
      </c>
      <c r="AA124" s="6">
        <f t="shared" si="37"/>
        <v>1</v>
      </c>
      <c r="AB124" s="6">
        <f t="shared" si="37"/>
        <v>0</v>
      </c>
      <c r="AC124" s="6">
        <f t="shared" si="37"/>
        <v>1</v>
      </c>
      <c r="AD124" s="6">
        <f t="shared" si="37"/>
        <v>2</v>
      </c>
      <c r="AE124" s="6">
        <f t="shared" si="37"/>
        <v>1</v>
      </c>
      <c r="AF124" s="6">
        <f t="shared" si="37"/>
        <v>2</v>
      </c>
      <c r="AG124" s="6">
        <f t="shared" si="37"/>
        <v>2</v>
      </c>
      <c r="AH124" s="6">
        <f t="shared" si="37"/>
        <v>1</v>
      </c>
      <c r="AI124" s="6">
        <f t="shared" si="37"/>
        <v>0</v>
      </c>
      <c r="AJ124" s="6">
        <f t="shared" si="37"/>
        <v>1</v>
      </c>
      <c r="AK124" s="6">
        <f t="shared" si="37"/>
        <v>1</v>
      </c>
      <c r="AL124" s="6">
        <f t="shared" si="37"/>
        <v>1</v>
      </c>
      <c r="AM124" s="6">
        <f t="shared" si="37"/>
        <v>1</v>
      </c>
      <c r="AN124" s="6">
        <f t="shared" si="37"/>
        <v>0</v>
      </c>
      <c r="AO124" s="6">
        <f t="shared" si="37"/>
        <v>0</v>
      </c>
      <c r="AP124" s="6">
        <f t="shared" si="37"/>
        <v>0</v>
      </c>
      <c r="AQ124" s="6">
        <f t="shared" si="37"/>
        <v>1</v>
      </c>
      <c r="AR124" s="6">
        <f t="shared" si="37"/>
        <v>2</v>
      </c>
      <c r="AS124" s="1">
        <f t="shared" si="36"/>
        <v>24</v>
      </c>
    </row>
    <row r="125" spans="2:45">
      <c r="N125" s="2" t="s">
        <v>5</v>
      </c>
      <c r="O125" s="6">
        <f t="shared" ref="O125:AR125" si="38">COUNTIF(O6:O116,$N$125)</f>
        <v>2</v>
      </c>
      <c r="P125" s="6">
        <f t="shared" si="38"/>
        <v>2</v>
      </c>
      <c r="Q125" s="6">
        <f t="shared" si="38"/>
        <v>3</v>
      </c>
      <c r="R125" s="6">
        <f t="shared" si="38"/>
        <v>0</v>
      </c>
      <c r="S125" s="6">
        <f t="shared" si="38"/>
        <v>0</v>
      </c>
      <c r="T125" s="6">
        <f t="shared" si="38"/>
        <v>0</v>
      </c>
      <c r="U125" s="6">
        <f t="shared" si="38"/>
        <v>0</v>
      </c>
      <c r="V125" s="6">
        <f t="shared" si="38"/>
        <v>6</v>
      </c>
      <c r="W125" s="6">
        <f t="shared" si="38"/>
        <v>4</v>
      </c>
      <c r="X125" s="6">
        <f t="shared" si="38"/>
        <v>2</v>
      </c>
      <c r="Y125" s="6">
        <f t="shared" si="38"/>
        <v>2</v>
      </c>
      <c r="Z125" s="6">
        <f t="shared" si="38"/>
        <v>2</v>
      </c>
      <c r="AA125" s="6">
        <f t="shared" si="38"/>
        <v>0</v>
      </c>
      <c r="AB125" s="6">
        <f t="shared" si="38"/>
        <v>0</v>
      </c>
      <c r="AC125" s="6">
        <f t="shared" si="38"/>
        <v>3</v>
      </c>
      <c r="AD125" s="6">
        <f t="shared" si="38"/>
        <v>2</v>
      </c>
      <c r="AE125" s="6">
        <f t="shared" si="38"/>
        <v>6</v>
      </c>
      <c r="AF125" s="6">
        <f t="shared" si="38"/>
        <v>4</v>
      </c>
      <c r="AG125" s="6">
        <f t="shared" si="38"/>
        <v>5</v>
      </c>
      <c r="AH125" s="6">
        <f t="shared" si="38"/>
        <v>0</v>
      </c>
      <c r="AI125" s="6">
        <f t="shared" si="38"/>
        <v>0</v>
      </c>
      <c r="AJ125" s="6">
        <f t="shared" si="38"/>
        <v>1</v>
      </c>
      <c r="AK125" s="6">
        <f t="shared" si="38"/>
        <v>2</v>
      </c>
      <c r="AL125" s="6">
        <f t="shared" si="38"/>
        <v>2</v>
      </c>
      <c r="AM125" s="6">
        <f t="shared" si="38"/>
        <v>8</v>
      </c>
      <c r="AN125" s="6">
        <f t="shared" si="38"/>
        <v>9</v>
      </c>
      <c r="AO125" s="6">
        <f t="shared" si="38"/>
        <v>0</v>
      </c>
      <c r="AP125" s="6">
        <f t="shared" si="38"/>
        <v>0</v>
      </c>
      <c r="AQ125" s="6">
        <f t="shared" si="38"/>
        <v>1</v>
      </c>
      <c r="AR125" s="6">
        <f t="shared" si="38"/>
        <v>3</v>
      </c>
      <c r="AS125" s="1">
        <f t="shared" si="36"/>
        <v>69</v>
      </c>
    </row>
    <row r="126" spans="2:45">
      <c r="N126" s="23" t="s">
        <v>6</v>
      </c>
      <c r="O126" s="7">
        <f t="shared" ref="O126:AR126" si="39">COUNTIF(O6:O116,$N$126)</f>
        <v>1</v>
      </c>
      <c r="P126" s="7">
        <f t="shared" si="39"/>
        <v>1</v>
      </c>
      <c r="Q126" s="7">
        <f t="shared" si="39"/>
        <v>1</v>
      </c>
      <c r="R126" s="7">
        <f t="shared" si="39"/>
        <v>0</v>
      </c>
      <c r="S126" s="7">
        <f t="shared" si="39"/>
        <v>0</v>
      </c>
      <c r="T126" s="7">
        <f t="shared" si="39"/>
        <v>0</v>
      </c>
      <c r="U126" s="7">
        <f t="shared" si="39"/>
        <v>0</v>
      </c>
      <c r="V126" s="7">
        <f t="shared" si="39"/>
        <v>1</v>
      </c>
      <c r="W126" s="7">
        <f t="shared" si="39"/>
        <v>1</v>
      </c>
      <c r="X126" s="7">
        <f t="shared" si="39"/>
        <v>1</v>
      </c>
      <c r="Y126" s="7">
        <f t="shared" si="39"/>
        <v>1</v>
      </c>
      <c r="Z126" s="7">
        <f t="shared" si="39"/>
        <v>1</v>
      </c>
      <c r="AA126" s="7">
        <f t="shared" si="39"/>
        <v>0</v>
      </c>
      <c r="AB126" s="7">
        <f t="shared" si="39"/>
        <v>0</v>
      </c>
      <c r="AC126" s="7">
        <f t="shared" si="39"/>
        <v>1</v>
      </c>
      <c r="AD126" s="7">
        <f t="shared" si="39"/>
        <v>1</v>
      </c>
      <c r="AE126" s="7">
        <f t="shared" si="39"/>
        <v>1</v>
      </c>
      <c r="AF126" s="7">
        <f t="shared" si="39"/>
        <v>1</v>
      </c>
      <c r="AG126" s="7">
        <f t="shared" si="39"/>
        <v>1</v>
      </c>
      <c r="AH126" s="7">
        <f t="shared" si="39"/>
        <v>0</v>
      </c>
      <c r="AI126" s="7">
        <f t="shared" si="39"/>
        <v>0</v>
      </c>
      <c r="AJ126" s="7">
        <f t="shared" si="39"/>
        <v>1</v>
      </c>
      <c r="AK126" s="7">
        <f t="shared" si="39"/>
        <v>1</v>
      </c>
      <c r="AL126" s="7">
        <f t="shared" si="39"/>
        <v>1</v>
      </c>
      <c r="AM126" s="7">
        <f t="shared" si="39"/>
        <v>1</v>
      </c>
      <c r="AN126" s="7">
        <f t="shared" si="39"/>
        <v>1</v>
      </c>
      <c r="AO126" s="7">
        <f t="shared" si="39"/>
        <v>0</v>
      </c>
      <c r="AP126" s="7">
        <f t="shared" si="39"/>
        <v>0</v>
      </c>
      <c r="AQ126" s="7">
        <f t="shared" si="39"/>
        <v>1</v>
      </c>
      <c r="AR126" s="7">
        <f t="shared" si="39"/>
        <v>1</v>
      </c>
      <c r="AS126" s="1">
        <f t="shared" si="36"/>
        <v>20</v>
      </c>
    </row>
    <row r="127" spans="2:45">
      <c r="N127" s="8" t="s">
        <v>7</v>
      </c>
      <c r="O127" s="4">
        <f t="shared" ref="O127:AR127" si="40">COUNTIF(O6:O116,$N$127)</f>
        <v>0</v>
      </c>
      <c r="P127" s="4">
        <f t="shared" si="40"/>
        <v>0</v>
      </c>
      <c r="Q127" s="4">
        <f t="shared" si="40"/>
        <v>0</v>
      </c>
      <c r="R127" s="4">
        <f t="shared" si="40"/>
        <v>0</v>
      </c>
      <c r="S127" s="4">
        <f t="shared" si="40"/>
        <v>0</v>
      </c>
      <c r="T127" s="4">
        <f t="shared" si="40"/>
        <v>0</v>
      </c>
      <c r="U127" s="4">
        <f t="shared" si="40"/>
        <v>0</v>
      </c>
      <c r="V127" s="4">
        <f t="shared" si="40"/>
        <v>0</v>
      </c>
      <c r="W127" s="4">
        <f t="shared" si="40"/>
        <v>0</v>
      </c>
      <c r="X127" s="4">
        <f t="shared" si="40"/>
        <v>0</v>
      </c>
      <c r="Y127" s="4">
        <f t="shared" si="40"/>
        <v>0</v>
      </c>
      <c r="Z127" s="4">
        <f t="shared" si="40"/>
        <v>0</v>
      </c>
      <c r="AA127" s="4">
        <f t="shared" si="40"/>
        <v>0</v>
      </c>
      <c r="AB127" s="4">
        <f t="shared" si="40"/>
        <v>0</v>
      </c>
      <c r="AC127" s="4">
        <f t="shared" si="40"/>
        <v>0</v>
      </c>
      <c r="AD127" s="4">
        <f t="shared" si="40"/>
        <v>0</v>
      </c>
      <c r="AE127" s="4">
        <f t="shared" si="40"/>
        <v>0</v>
      </c>
      <c r="AF127" s="4">
        <f t="shared" si="40"/>
        <v>0</v>
      </c>
      <c r="AG127" s="4">
        <f t="shared" si="40"/>
        <v>0</v>
      </c>
      <c r="AH127" s="4">
        <f t="shared" si="40"/>
        <v>0</v>
      </c>
      <c r="AI127" s="4">
        <f t="shared" si="40"/>
        <v>0</v>
      </c>
      <c r="AJ127" s="4">
        <f t="shared" si="40"/>
        <v>0</v>
      </c>
      <c r="AK127" s="4">
        <f t="shared" si="40"/>
        <v>0</v>
      </c>
      <c r="AL127" s="4">
        <f t="shared" si="40"/>
        <v>0</v>
      </c>
      <c r="AM127" s="4">
        <f t="shared" si="40"/>
        <v>0</v>
      </c>
      <c r="AN127" s="4">
        <f t="shared" si="40"/>
        <v>0</v>
      </c>
      <c r="AO127" s="4">
        <f t="shared" si="40"/>
        <v>0</v>
      </c>
      <c r="AP127" s="4">
        <f t="shared" si="40"/>
        <v>0</v>
      </c>
      <c r="AQ127" s="4">
        <f t="shared" si="40"/>
        <v>0</v>
      </c>
      <c r="AR127" s="4">
        <f t="shared" si="40"/>
        <v>0</v>
      </c>
      <c r="AS127" s="1">
        <f t="shared" si="36"/>
        <v>0</v>
      </c>
    </row>
    <row r="128" spans="2:45">
      <c r="N128" s="56" t="s">
        <v>159</v>
      </c>
      <c r="O128" s="4">
        <f t="shared" ref="O128:AR128" si="41">COUNTIF(O6:O116,$N$127)</f>
        <v>0</v>
      </c>
      <c r="P128" s="4">
        <f t="shared" si="41"/>
        <v>0</v>
      </c>
      <c r="Q128" s="4">
        <f t="shared" si="41"/>
        <v>0</v>
      </c>
      <c r="R128" s="4">
        <f t="shared" si="41"/>
        <v>0</v>
      </c>
      <c r="S128" s="4">
        <f t="shared" si="41"/>
        <v>0</v>
      </c>
      <c r="T128" s="4">
        <f t="shared" si="41"/>
        <v>0</v>
      </c>
      <c r="U128" s="4">
        <f t="shared" si="41"/>
        <v>0</v>
      </c>
      <c r="V128" s="4">
        <f t="shared" si="41"/>
        <v>0</v>
      </c>
      <c r="W128" s="4">
        <f t="shared" si="41"/>
        <v>0</v>
      </c>
      <c r="X128" s="4">
        <f t="shared" si="41"/>
        <v>0</v>
      </c>
      <c r="Y128" s="4">
        <f t="shared" si="41"/>
        <v>0</v>
      </c>
      <c r="Z128" s="4">
        <f t="shared" si="41"/>
        <v>0</v>
      </c>
      <c r="AA128" s="4">
        <f t="shared" si="41"/>
        <v>0</v>
      </c>
      <c r="AB128" s="4">
        <f t="shared" si="41"/>
        <v>0</v>
      </c>
      <c r="AC128" s="4">
        <f t="shared" si="41"/>
        <v>0</v>
      </c>
      <c r="AD128" s="4">
        <f t="shared" si="41"/>
        <v>0</v>
      </c>
      <c r="AE128" s="4">
        <f t="shared" si="41"/>
        <v>0</v>
      </c>
      <c r="AF128" s="4">
        <f t="shared" si="41"/>
        <v>0</v>
      </c>
      <c r="AG128" s="4">
        <f t="shared" si="41"/>
        <v>0</v>
      </c>
      <c r="AH128" s="4">
        <f t="shared" si="41"/>
        <v>0</v>
      </c>
      <c r="AI128" s="4">
        <f t="shared" si="41"/>
        <v>0</v>
      </c>
      <c r="AJ128" s="4">
        <f t="shared" si="41"/>
        <v>0</v>
      </c>
      <c r="AK128" s="4">
        <f t="shared" si="41"/>
        <v>0</v>
      </c>
      <c r="AL128" s="4">
        <f t="shared" si="41"/>
        <v>0</v>
      </c>
      <c r="AM128" s="4">
        <f t="shared" si="41"/>
        <v>0</v>
      </c>
      <c r="AN128" s="4">
        <f t="shared" si="41"/>
        <v>0</v>
      </c>
      <c r="AO128" s="4">
        <f t="shared" si="41"/>
        <v>0</v>
      </c>
      <c r="AP128" s="4">
        <f t="shared" si="41"/>
        <v>0</v>
      </c>
      <c r="AQ128" s="4">
        <f t="shared" si="41"/>
        <v>0</v>
      </c>
      <c r="AR128" s="4">
        <f t="shared" si="41"/>
        <v>0</v>
      </c>
      <c r="AS128" s="1">
        <f t="shared" si="36"/>
        <v>0</v>
      </c>
    </row>
    <row r="129" spans="2:45">
      <c r="N129" s="59" t="s">
        <v>9</v>
      </c>
      <c r="O129" s="4">
        <f t="shared" ref="O129:AR129" si="42">COUNTIF(O6:O116,$N$127)</f>
        <v>0</v>
      </c>
      <c r="P129" s="4">
        <f t="shared" si="42"/>
        <v>0</v>
      </c>
      <c r="Q129" s="4">
        <f t="shared" si="42"/>
        <v>0</v>
      </c>
      <c r="R129" s="4">
        <f t="shared" si="42"/>
        <v>0</v>
      </c>
      <c r="S129" s="4">
        <f t="shared" si="42"/>
        <v>0</v>
      </c>
      <c r="T129" s="4">
        <f t="shared" si="42"/>
        <v>0</v>
      </c>
      <c r="U129" s="4">
        <f t="shared" si="42"/>
        <v>0</v>
      </c>
      <c r="V129" s="4">
        <f t="shared" si="42"/>
        <v>0</v>
      </c>
      <c r="W129" s="4">
        <f t="shared" si="42"/>
        <v>0</v>
      </c>
      <c r="X129" s="4">
        <f t="shared" si="42"/>
        <v>0</v>
      </c>
      <c r="Y129" s="4">
        <f t="shared" si="42"/>
        <v>0</v>
      </c>
      <c r="Z129" s="4">
        <f t="shared" si="42"/>
        <v>0</v>
      </c>
      <c r="AA129" s="4">
        <f t="shared" si="42"/>
        <v>0</v>
      </c>
      <c r="AB129" s="4">
        <f t="shared" si="42"/>
        <v>0</v>
      </c>
      <c r="AC129" s="4">
        <f t="shared" si="42"/>
        <v>0</v>
      </c>
      <c r="AD129" s="4">
        <f t="shared" si="42"/>
        <v>0</v>
      </c>
      <c r="AE129" s="4">
        <f t="shared" si="42"/>
        <v>0</v>
      </c>
      <c r="AF129" s="4">
        <f t="shared" si="42"/>
        <v>0</v>
      </c>
      <c r="AG129" s="4">
        <f t="shared" si="42"/>
        <v>0</v>
      </c>
      <c r="AH129" s="4">
        <f t="shared" si="42"/>
        <v>0</v>
      </c>
      <c r="AI129" s="4">
        <f t="shared" si="42"/>
        <v>0</v>
      </c>
      <c r="AJ129" s="4">
        <f t="shared" si="42"/>
        <v>0</v>
      </c>
      <c r="AK129" s="4">
        <f t="shared" si="42"/>
        <v>0</v>
      </c>
      <c r="AL129" s="4">
        <f t="shared" si="42"/>
        <v>0</v>
      </c>
      <c r="AM129" s="4">
        <f t="shared" si="42"/>
        <v>0</v>
      </c>
      <c r="AN129" s="4">
        <f t="shared" si="42"/>
        <v>0</v>
      </c>
      <c r="AO129" s="4">
        <f t="shared" si="42"/>
        <v>0</v>
      </c>
      <c r="AP129" s="4">
        <f t="shared" si="42"/>
        <v>0</v>
      </c>
      <c r="AQ129" s="4">
        <f t="shared" si="42"/>
        <v>0</v>
      </c>
      <c r="AR129" s="4">
        <f t="shared" si="42"/>
        <v>0</v>
      </c>
      <c r="AS129" s="1">
        <f t="shared" si="36"/>
        <v>0</v>
      </c>
    </row>
    <row r="142" spans="2:45">
      <c r="B142" s="16" t="s">
        <v>2</v>
      </c>
      <c r="C142" s="17" t="s">
        <v>160</v>
      </c>
    </row>
    <row r="143" spans="2:45">
      <c r="B143" s="16" t="s">
        <v>3</v>
      </c>
      <c r="C143" s="17" t="s">
        <v>161</v>
      </c>
    </row>
    <row r="144" spans="2:45">
      <c r="B144" s="16" t="s">
        <v>4</v>
      </c>
      <c r="C144" s="17" t="s">
        <v>162</v>
      </c>
    </row>
    <row r="145" spans="2:3">
      <c r="B145" s="16" t="s">
        <v>5</v>
      </c>
      <c r="C145" s="17" t="s">
        <v>163</v>
      </c>
    </row>
    <row r="146" spans="2:3">
      <c r="B146" s="18" t="s">
        <v>6</v>
      </c>
      <c r="C146" s="17" t="s">
        <v>164</v>
      </c>
    </row>
    <row r="147" spans="2:3">
      <c r="B147" s="19" t="s">
        <v>7</v>
      </c>
      <c r="C147" s="17" t="s">
        <v>165</v>
      </c>
    </row>
    <row r="148" spans="2:3">
      <c r="B148" s="57" t="s">
        <v>8</v>
      </c>
      <c r="C148" s="17" t="s">
        <v>166</v>
      </c>
    </row>
    <row r="149" spans="2:3">
      <c r="B149" s="50" t="s">
        <v>9</v>
      </c>
      <c r="C149" s="17" t="s">
        <v>167</v>
      </c>
    </row>
  </sheetData>
  <autoFilter ref="B5:D118" xr:uid="{69B130CD-51FD-4A9D-A3FA-27274C5473FD}">
    <filterColumn colId="0">
      <filters>
        <filter val="3º"/>
      </filters>
    </filterColumn>
    <sortState xmlns:xlrd2="http://schemas.microsoft.com/office/spreadsheetml/2017/richdata2" ref="B56:D100">
      <sortCondition ref="D5:D116"/>
    </sortState>
  </autoFilter>
  <mergeCells count="1">
    <mergeCell ref="B2:AR3"/>
  </mergeCells>
  <phoneticPr fontId="1" type="noConversion"/>
  <conditionalFormatting sqref="B142">
    <cfRule type="containsText" dxfId="785" priority="1307" stopIfTrue="1" operator="containsText" text="S.A">
      <formula>NOT(ISERROR(SEARCH("S.A",B142)))</formula>
    </cfRule>
    <cfRule type="containsText" dxfId="784" priority="1313" stopIfTrue="1" operator="containsText" text="BH">
      <formula>NOT(ISERROR(SEARCH("BH",B142)))</formula>
    </cfRule>
    <cfRule type="containsText" dxfId="783" priority="1312" stopIfTrue="1" operator="containsText" text="F">
      <formula>NOT(ISERROR(SEARCH("F",B142)))</formula>
    </cfRule>
    <cfRule type="containsText" dxfId="782" priority="1311" stopIfTrue="1" operator="containsText" text="A">
      <formula>NOT(ISERROR(SEARCH("A",B142)))</formula>
    </cfRule>
    <cfRule type="containsText" dxfId="781" priority="1310" stopIfTrue="1" operator="containsText" text="F">
      <formula>NOT(ISERROR(SEARCH("F",B142)))</formula>
    </cfRule>
    <cfRule type="containsText" dxfId="780" priority="1309" stopIfTrue="1" operator="containsText" text="FN">
      <formula>NOT(ISERROR(SEARCH("FN",B142)))</formula>
    </cfRule>
    <cfRule type="containsText" dxfId="779" priority="1308" stopIfTrue="1" operator="containsText" text="P">
      <formula>NOT(ISERROR(SEARCH("P",B142)))</formula>
    </cfRule>
    <cfRule type="containsText" dxfId="778" priority="1314" stopIfTrue="1" operator="containsText" text="S.A">
      <formula>NOT(ISERROR(SEARCH("S.A",B142)))</formula>
    </cfRule>
    <cfRule type="containsText" dxfId="777" priority="1306" stopIfTrue="1" operator="containsText" text="BH">
      <formula>NOT(ISERROR(SEARCH("BH",B142)))</formula>
    </cfRule>
    <cfRule type="containsText" dxfId="776" priority="1305" stopIfTrue="1" operator="containsText" text="F">
      <formula>NOT(ISERROR(SEARCH("F",B142)))</formula>
    </cfRule>
    <cfRule type="containsText" dxfId="775" priority="1304" stopIfTrue="1" operator="containsText" text="A">
      <formula>NOT(ISERROR(SEARCH("A",B142)))</formula>
    </cfRule>
    <cfRule type="containsText" dxfId="774" priority="1303" operator="containsText" text="FJ">
      <formula>NOT(ISERROR(SEARCH("FJ",B142)))</formula>
    </cfRule>
    <cfRule type="containsText" dxfId="773" priority="1302" operator="containsText" text="AT">
      <formula>NOT(ISERROR(SEARCH("AT",B142)))</formula>
    </cfRule>
    <cfRule type="containsText" dxfId="772" priority="1301" operator="containsText" text="FJ">
      <formula>NOT(ISERROR(SEARCH("FJ",B142)))</formula>
    </cfRule>
    <cfRule type="containsText" dxfId="771" priority="1315" stopIfTrue="1" operator="containsText" text="P">
      <formula>NOT(ISERROR(SEARCH("P",B142)))</formula>
    </cfRule>
    <cfRule type="containsText" dxfId="770" priority="1316" stopIfTrue="1" operator="containsText" text="FN">
      <formula>NOT(ISERROR(SEARCH("FN",B142)))</formula>
    </cfRule>
    <cfRule type="containsText" dxfId="769" priority="1317" stopIfTrue="1" operator="containsText" text="F">
      <formula>NOT(ISERROR(SEARCH("F",B142)))</formula>
    </cfRule>
  </conditionalFormatting>
  <conditionalFormatting sqref="B143:B146">
    <cfRule type="containsText" dxfId="768" priority="1346" stopIfTrue="1" operator="containsText" text="F">
      <formula>NOT(ISERROR(SEARCH("F",B143)))</formula>
    </cfRule>
    <cfRule type="containsText" dxfId="767" priority="1342" stopIfTrue="1" operator="containsText" text="BH">
      <formula>NOT(ISERROR(SEARCH("BH",B143)))</formula>
    </cfRule>
    <cfRule type="containsText" dxfId="766" priority="1345" stopIfTrue="1" operator="containsText" text="FN">
      <formula>NOT(ISERROR(SEARCH("FN",B143)))</formula>
    </cfRule>
    <cfRule type="containsText" dxfId="765" priority="1344" stopIfTrue="1" operator="containsText" text="P">
      <formula>NOT(ISERROR(SEARCH("P",B143)))</formula>
    </cfRule>
    <cfRule type="containsText" dxfId="764" priority="1343" stopIfTrue="1" operator="containsText" text="S.A">
      <formula>NOT(ISERROR(SEARCH("S.A",B143)))</formula>
    </cfRule>
  </conditionalFormatting>
  <conditionalFormatting sqref="B145">
    <cfRule type="containsText" dxfId="763" priority="1336" stopIfTrue="1" operator="containsText" text="S.A">
      <formula>NOT(ISERROR(SEARCH("S.A",B145)))</formula>
    </cfRule>
    <cfRule type="containsText" dxfId="762" priority="1323" stopIfTrue="1" operator="containsText" text="S.A">
      <formula>NOT(ISERROR(SEARCH("S.A",B145)))</formula>
    </cfRule>
    <cfRule type="containsText" dxfId="761" priority="1322" stopIfTrue="1" operator="containsText" text="BH">
      <formula>NOT(ISERROR(SEARCH("BH",B145)))</formula>
    </cfRule>
    <cfRule type="containsText" dxfId="760" priority="1320" stopIfTrue="1" operator="containsText" text="A">
      <formula>NOT(ISERROR(SEARCH("A",B145)))</formula>
    </cfRule>
    <cfRule type="containsText" dxfId="759" priority="1318" operator="containsText" text="FJ">
      <formula>NOT(ISERROR(SEARCH("FJ",B145)))</formula>
    </cfRule>
    <cfRule type="containsText" dxfId="758" priority="1340" stopIfTrue="1" operator="containsText" text="A">
      <formula>NOT(ISERROR(SEARCH("A",B145)))</formula>
    </cfRule>
    <cfRule type="containsText" dxfId="757" priority="1339" stopIfTrue="1" operator="containsText" text="F">
      <formula>NOT(ISERROR(SEARCH("F",B145)))</formula>
    </cfRule>
    <cfRule type="containsText" dxfId="756" priority="1319" operator="containsText" text="AT">
      <formula>NOT(ISERROR(SEARCH("AT",B145)))</formula>
    </cfRule>
    <cfRule type="containsText" dxfId="755" priority="1341" stopIfTrue="1" operator="containsText" text="F">
      <formula>NOT(ISERROR(SEARCH("F",B145)))</formula>
    </cfRule>
    <cfRule type="containsText" dxfId="754" priority="1321" stopIfTrue="1" operator="containsText" text="F">
      <formula>NOT(ISERROR(SEARCH("F",B145)))</formula>
    </cfRule>
    <cfRule type="containsText" dxfId="753" priority="1338" stopIfTrue="1" operator="containsText" text="FN">
      <formula>NOT(ISERROR(SEARCH("FN",B145)))</formula>
    </cfRule>
    <cfRule type="containsText" dxfId="752" priority="1337" stopIfTrue="1" operator="containsText" text="P">
      <formula>NOT(ISERROR(SEARCH("P",B145)))</formula>
    </cfRule>
    <cfRule type="containsText" dxfId="751" priority="1335" stopIfTrue="1" operator="containsText" text="BH">
      <formula>NOT(ISERROR(SEARCH("BH",B145)))</formula>
    </cfRule>
    <cfRule type="containsText" dxfId="750" priority="1334" stopIfTrue="1" operator="containsText" text="F">
      <formula>NOT(ISERROR(SEARCH("F",B145)))</formula>
    </cfRule>
    <cfRule type="containsText" dxfId="749" priority="1333" stopIfTrue="1" operator="containsText" text="FN">
      <formula>NOT(ISERROR(SEARCH("FN",B145)))</formula>
    </cfRule>
    <cfRule type="containsText" dxfId="748" priority="1332" stopIfTrue="1" operator="containsText" text="P">
      <formula>NOT(ISERROR(SEARCH("P",B145)))</formula>
    </cfRule>
    <cfRule type="containsText" dxfId="747" priority="1331" stopIfTrue="1" operator="containsText" text="S.A">
      <formula>NOT(ISERROR(SEARCH("S.A",B145)))</formula>
    </cfRule>
    <cfRule type="containsText" dxfId="746" priority="1330" stopIfTrue="1" operator="containsText" text="BH">
      <formula>NOT(ISERROR(SEARCH("BH",B145)))</formula>
    </cfRule>
    <cfRule type="containsText" dxfId="745" priority="1329" stopIfTrue="1" operator="containsText" text="F">
      <formula>NOT(ISERROR(SEARCH("F",B145)))</formula>
    </cfRule>
    <cfRule type="containsText" dxfId="744" priority="1328" stopIfTrue="1" operator="containsText" text="A">
      <formula>NOT(ISERROR(SEARCH("A",B145)))</formula>
    </cfRule>
    <cfRule type="containsText" dxfId="743" priority="1327" operator="containsText" text="FJ">
      <formula>NOT(ISERROR(SEARCH("FJ",B145)))</formula>
    </cfRule>
    <cfRule type="containsText" dxfId="742" priority="1326" stopIfTrue="1" operator="containsText" text="F">
      <formula>NOT(ISERROR(SEARCH("F",B145)))</formula>
    </cfRule>
    <cfRule type="containsText" dxfId="741" priority="1325" stopIfTrue="1" operator="containsText" text="FN">
      <formula>NOT(ISERROR(SEARCH("FN",B145)))</formula>
    </cfRule>
    <cfRule type="containsText" dxfId="740" priority="1324" stopIfTrue="1" operator="containsText" text="P">
      <formula>NOT(ISERROR(SEARCH("P",B145)))</formula>
    </cfRule>
  </conditionalFormatting>
  <conditionalFormatting sqref="B147">
    <cfRule type="cellIs" dxfId="739" priority="1275" operator="equal">
      <formula>"P"</formula>
    </cfRule>
    <cfRule type="cellIs" dxfId="738" priority="1271" operator="equal">
      <formula>"F"</formula>
    </cfRule>
    <cfRule type="containsText" dxfId="737" priority="1272" operator="containsText" text="A.">
      <formula>NOT(ISERROR(SEARCH("A.",B147)))</formula>
    </cfRule>
    <cfRule type="cellIs" dxfId="736" priority="1274" operator="equal">
      <formula>"BH"</formula>
    </cfRule>
    <cfRule type="cellIs" dxfId="735" priority="1273" operator="equal">
      <formula>"FN"</formula>
    </cfRule>
    <cfRule type="cellIs" dxfId="734" priority="1270" operator="equal">
      <formula>"A"</formula>
    </cfRule>
  </conditionalFormatting>
  <conditionalFormatting sqref="B149">
    <cfRule type="containsText" dxfId="733" priority="1349" stopIfTrue="1" operator="containsText" text="BH">
      <formula>NOT(ISERROR(SEARCH("BH",B149)))</formula>
    </cfRule>
    <cfRule type="containsText" dxfId="732" priority="1350" stopIfTrue="1" operator="containsText" text="S.A">
      <formula>NOT(ISERROR(SEARCH("S.A",B149)))</formula>
    </cfRule>
    <cfRule type="containsText" dxfId="731" priority="1351" stopIfTrue="1" operator="containsText" text="P">
      <formula>NOT(ISERROR(SEARCH("P",B149)))</formula>
    </cfRule>
    <cfRule type="containsText" dxfId="730" priority="1352" stopIfTrue="1" operator="containsText" text="FN">
      <formula>NOT(ISERROR(SEARCH("FN",B149)))</formula>
    </cfRule>
    <cfRule type="containsText" dxfId="729" priority="1353" stopIfTrue="1" operator="containsText" text="F">
      <formula>NOT(ISERROR(SEARCH("F",B149)))</formula>
    </cfRule>
  </conditionalFormatting>
  <conditionalFormatting sqref="F5:J5">
    <cfRule type="containsText" dxfId="728" priority="1300" stopIfTrue="1" operator="containsText" text="F">
      <formula>NOT(ISERROR(SEARCH("F",F5)))</formula>
    </cfRule>
    <cfRule type="containsText" dxfId="727" priority="1299" stopIfTrue="1" operator="containsText" text="FN">
      <formula>NOT(ISERROR(SEARCH("FN",F5)))</formula>
    </cfRule>
    <cfRule type="containsText" dxfId="726" priority="1298" stopIfTrue="1" operator="containsText" text="P">
      <formula>NOT(ISERROR(SEARCH("P",F5)))</formula>
    </cfRule>
    <cfRule type="containsText" dxfId="725" priority="1297" stopIfTrue="1" operator="containsText" text="S.A">
      <formula>NOT(ISERROR(SEARCH("S.A",F5)))</formula>
    </cfRule>
    <cfRule type="containsText" dxfId="724" priority="1296" stopIfTrue="1" operator="containsText" text="BH">
      <formula>NOT(ISERROR(SEARCH("BH",F5)))</formula>
    </cfRule>
  </conditionalFormatting>
  <conditionalFormatting sqref="I5">
    <cfRule type="containsText" dxfId="723" priority="1295" stopIfTrue="1" operator="containsText" text="F">
      <formula>NOT(ISERROR(SEARCH("F",I5)))</formula>
    </cfRule>
    <cfRule type="containsText" dxfId="722" priority="1294" stopIfTrue="1" operator="containsText" text="A">
      <formula>NOT(ISERROR(SEARCH("A",I5)))</formula>
    </cfRule>
    <cfRule type="containsText" dxfId="721" priority="1293" stopIfTrue="1" operator="containsText" text="F">
      <formula>NOT(ISERROR(SEARCH("F",I5)))</formula>
    </cfRule>
    <cfRule type="containsText" dxfId="720" priority="1292" stopIfTrue="1" operator="containsText" text="FN">
      <formula>NOT(ISERROR(SEARCH("FN",I5)))</formula>
    </cfRule>
    <cfRule type="containsText" dxfId="719" priority="1291" stopIfTrue="1" operator="containsText" text="P">
      <formula>NOT(ISERROR(SEARCH("P",I5)))</formula>
    </cfRule>
    <cfRule type="containsText" dxfId="718" priority="1289" stopIfTrue="1" operator="containsText" text="BH">
      <formula>NOT(ISERROR(SEARCH("BH",I5)))</formula>
    </cfRule>
    <cfRule type="containsText" dxfId="717" priority="1288" operator="containsText" text="FJ">
      <formula>NOT(ISERROR(SEARCH("FJ",I5)))</formula>
    </cfRule>
    <cfRule type="containsText" dxfId="716" priority="1290" stopIfTrue="1" operator="containsText" text="S.A">
      <formula>NOT(ISERROR(SEARCH("S.A",I5)))</formula>
    </cfRule>
  </conditionalFormatting>
  <conditionalFormatting sqref="K5">
    <cfRule type="cellIs" dxfId="715" priority="1374" operator="equal">
      <formula>"BH"</formula>
    </cfRule>
    <cfRule type="cellIs" dxfId="714" priority="1373" operator="equal">
      <formula>"FN"</formula>
    </cfRule>
    <cfRule type="containsText" dxfId="713" priority="1372" operator="containsText" text="A.">
      <formula>NOT(ISERROR(SEARCH("A.",K5)))</formula>
    </cfRule>
    <cfRule type="cellIs" dxfId="712" priority="1375" operator="equal">
      <formula>"P"</formula>
    </cfRule>
    <cfRule type="cellIs" dxfId="711" priority="1371" operator="equal">
      <formula>"F"</formula>
    </cfRule>
    <cfRule type="cellIs" dxfId="710" priority="1370" operator="equal">
      <formula>"A"</formula>
    </cfRule>
  </conditionalFormatting>
  <conditionalFormatting sqref="M5">
    <cfRule type="containsText" dxfId="709" priority="1280" stopIfTrue="1" operator="containsText" text="F">
      <formula>NOT(ISERROR(SEARCH("F",M5)))</formula>
    </cfRule>
    <cfRule type="containsText" dxfId="708" priority="1279" stopIfTrue="1" operator="containsText" text="FN">
      <formula>NOT(ISERROR(SEARCH("FN",M5)))</formula>
    </cfRule>
    <cfRule type="containsText" dxfId="707" priority="1278" stopIfTrue="1" operator="containsText" text="P">
      <formula>NOT(ISERROR(SEARCH("P",M5)))</formula>
    </cfRule>
    <cfRule type="containsText" dxfId="706" priority="1277" stopIfTrue="1" operator="containsText" text="S.A">
      <formula>NOT(ISERROR(SEARCH("S.A",M5)))</formula>
    </cfRule>
    <cfRule type="containsText" dxfId="705" priority="1276" stopIfTrue="1" operator="containsText" text="BH">
      <formula>NOT(ISERROR(SEARCH("BH",M5)))</formula>
    </cfRule>
  </conditionalFormatting>
  <conditionalFormatting sqref="N122:N126">
    <cfRule type="containsText" dxfId="704" priority="1358" stopIfTrue="1" operator="containsText" text="F">
      <formula>NOT(ISERROR(SEARCH("F",N122)))</formula>
    </cfRule>
    <cfRule type="containsText" dxfId="703" priority="1357" stopIfTrue="1" operator="containsText" text="FN">
      <formula>NOT(ISERROR(SEARCH("FN",N122)))</formula>
    </cfRule>
    <cfRule type="containsText" dxfId="702" priority="1356" stopIfTrue="1" operator="containsText" text="P">
      <formula>NOT(ISERROR(SEARCH("P",N122)))</formula>
    </cfRule>
    <cfRule type="containsText" dxfId="701" priority="1355" stopIfTrue="1" operator="containsText" text="S.A">
      <formula>NOT(ISERROR(SEARCH("S.A",N122)))</formula>
    </cfRule>
    <cfRule type="containsText" dxfId="700" priority="1354" stopIfTrue="1" operator="containsText" text="BH">
      <formula>NOT(ISERROR(SEARCH("BH",N122)))</formula>
    </cfRule>
  </conditionalFormatting>
  <conditionalFormatting sqref="N127">
    <cfRule type="cellIs" dxfId="699" priority="1369" operator="equal">
      <formula>"P"</formula>
    </cfRule>
    <cfRule type="cellIs" dxfId="698" priority="1368" operator="equal">
      <formula>"BH"</formula>
    </cfRule>
    <cfRule type="cellIs" dxfId="697" priority="1367" operator="equal">
      <formula>"FN"</formula>
    </cfRule>
    <cfRule type="containsText" dxfId="696" priority="1366" operator="containsText" text="A.">
      <formula>NOT(ISERROR(SEARCH("A.",N127)))</formula>
    </cfRule>
    <cfRule type="cellIs" dxfId="695" priority="1365" operator="equal">
      <formula>"F"</formula>
    </cfRule>
    <cfRule type="cellIs" dxfId="694" priority="1364" operator="equal">
      <formula>"A"</formula>
    </cfRule>
  </conditionalFormatting>
  <conditionalFormatting sqref="N129">
    <cfRule type="containsText" dxfId="693" priority="1363" stopIfTrue="1" operator="containsText" text="F">
      <formula>NOT(ISERROR(SEARCH("F",N129)))</formula>
    </cfRule>
    <cfRule type="containsText" dxfId="692" priority="1362" stopIfTrue="1" operator="containsText" text="FN">
      <formula>NOT(ISERROR(SEARCH("FN",N129)))</formula>
    </cfRule>
    <cfRule type="containsText" dxfId="691" priority="1361" stopIfTrue="1" operator="containsText" text="P">
      <formula>NOT(ISERROR(SEARCH("P",N129)))</formula>
    </cfRule>
    <cfRule type="containsText" dxfId="690" priority="1360" stopIfTrue="1" operator="containsText" text="S.A">
      <formula>NOT(ISERROR(SEARCH("S.A",N129)))</formula>
    </cfRule>
    <cfRule type="containsText" dxfId="689" priority="1359" stopIfTrue="1" operator="containsText" text="BH">
      <formula>NOT(ISERROR(SEARCH("BH",N129)))</formula>
    </cfRule>
  </conditionalFormatting>
  <conditionalFormatting sqref="O88:O103">
    <cfRule type="containsText" dxfId="688" priority="792" stopIfTrue="1" operator="containsText" text="S">
      <formula>NOT(ISERROR(SEARCH("S",O88)))</formula>
    </cfRule>
    <cfRule type="containsText" dxfId="687" priority="791" stopIfTrue="1" operator="containsText" text="BH">
      <formula>NOT(ISERROR(SEARCH("BH",O88)))</formula>
    </cfRule>
    <cfRule type="containsText" dxfId="686" priority="790" stopIfTrue="1" operator="containsText" text="A">
      <formula>NOT(ISERROR(SEARCH("A",O88)))</formula>
    </cfRule>
    <cfRule type="containsText" dxfId="685" priority="789" stopIfTrue="1" operator="containsText" text="FJ">
      <formula>NOT(ISERROR(SEARCH("FJ",O88)))</formula>
    </cfRule>
    <cfRule type="containsText" dxfId="684" priority="788" stopIfTrue="1" operator="containsText" text="P">
      <formula>NOT(ISERROR(SEARCH("P",O88)))</formula>
    </cfRule>
    <cfRule type="containsText" dxfId="683" priority="787" stopIfTrue="1" operator="containsText" text="E">
      <formula>NOT(ISERROR(SEARCH("E",O88)))</formula>
    </cfRule>
    <cfRule type="containsText" dxfId="682" priority="786" stopIfTrue="1" operator="containsText" text="T">
      <formula>NOT(ISERROR(SEARCH("T",O88)))</formula>
    </cfRule>
    <cfRule type="containsText" dxfId="681" priority="793" stopIfTrue="1" operator="containsText" text="FN">
      <formula>NOT(ISERROR(SEARCH("FN",O88)))</formula>
    </cfRule>
  </conditionalFormatting>
  <conditionalFormatting sqref="O104">
    <cfRule type="containsText" dxfId="680" priority="210" stopIfTrue="1" operator="containsText" text="FN">
      <formula>NOT(ISERROR(SEARCH("FN",O104)))</formula>
    </cfRule>
    <cfRule type="containsText" dxfId="679" priority="211" stopIfTrue="1" operator="containsText" text="F">
      <formula>NOT(ISERROR(SEARCH("F",O104)))</formula>
    </cfRule>
    <cfRule type="containsText" dxfId="678" priority="207" stopIfTrue="1" operator="containsText" text="BH">
      <formula>NOT(ISERROR(SEARCH("BH",O104)))</formula>
    </cfRule>
    <cfRule type="containsText" dxfId="677" priority="208" stopIfTrue="1" operator="containsText" text="S.A">
      <formula>NOT(ISERROR(SEARCH("S.A",O104)))</formula>
    </cfRule>
    <cfRule type="containsText" dxfId="676" priority="209" stopIfTrue="1" operator="containsText" text="P">
      <formula>NOT(ISERROR(SEARCH("P",O104)))</formula>
    </cfRule>
  </conditionalFormatting>
  <conditionalFormatting sqref="O105:O107">
    <cfRule type="containsText" dxfId="675" priority="781" stopIfTrue="1" operator="containsText" text="FJ">
      <formula>NOT(ISERROR(SEARCH("FJ",O105)))</formula>
    </cfRule>
    <cfRule type="containsText" dxfId="674" priority="779" stopIfTrue="1" operator="containsText" text="E">
      <formula>NOT(ISERROR(SEARCH("E",O105)))</formula>
    </cfRule>
    <cfRule type="containsText" dxfId="673" priority="778" stopIfTrue="1" operator="containsText" text="T">
      <formula>NOT(ISERROR(SEARCH("T",O105)))</formula>
    </cfRule>
    <cfRule type="containsText" dxfId="672" priority="785" stopIfTrue="1" operator="containsText" text="FN">
      <formula>NOT(ISERROR(SEARCH("FN",O105)))</formula>
    </cfRule>
    <cfRule type="containsText" dxfId="671" priority="784" stopIfTrue="1" operator="containsText" text="S">
      <formula>NOT(ISERROR(SEARCH("S",O105)))</formula>
    </cfRule>
    <cfRule type="containsText" dxfId="670" priority="783" stopIfTrue="1" operator="containsText" text="BH">
      <formula>NOT(ISERROR(SEARCH("BH",O105)))</formula>
    </cfRule>
    <cfRule type="containsText" dxfId="669" priority="782" stopIfTrue="1" operator="containsText" text="A">
      <formula>NOT(ISERROR(SEARCH("A",O105)))</formula>
    </cfRule>
    <cfRule type="containsText" dxfId="668" priority="780" stopIfTrue="1" operator="containsText" text="P">
      <formula>NOT(ISERROR(SEARCH("P",O105)))</formula>
    </cfRule>
  </conditionalFormatting>
  <conditionalFormatting sqref="O108 O115">
    <cfRule type="cellIs" dxfId="667" priority="1258" operator="equal">
      <formula>"P"</formula>
    </cfRule>
  </conditionalFormatting>
  <conditionalFormatting sqref="O108">
    <cfRule type="cellIs" dxfId="666" priority="1259" operator="equal">
      <formula>"A"</formula>
    </cfRule>
    <cfRule type="cellIs" dxfId="665" priority="1255" operator="equal">
      <formula>"F"</formula>
    </cfRule>
    <cfRule type="containsText" dxfId="664" priority="1252" operator="containsText" text="FI">
      <formula>NOT(ISERROR(SEARCH("FI",O108)))</formula>
    </cfRule>
    <cfRule type="cellIs" dxfId="663" priority="1116" operator="equal">
      <formula>"FN"</formula>
    </cfRule>
  </conditionalFormatting>
  <conditionalFormatting sqref="O109:O111 P110:AR110 O113">
    <cfRule type="containsText" dxfId="662" priority="271" stopIfTrue="1" operator="containsText" text="BH">
      <formula>NOT(ISERROR(SEARCH("BH",O109)))</formula>
    </cfRule>
    <cfRule type="containsText" dxfId="661" priority="270" stopIfTrue="1" operator="containsText" text="A">
      <formula>NOT(ISERROR(SEARCH("A",O109)))</formula>
    </cfRule>
    <cfRule type="containsText" dxfId="660" priority="269" stopIfTrue="1" operator="containsText" text="FJ">
      <formula>NOT(ISERROR(SEARCH("FJ",O109)))</formula>
    </cfRule>
    <cfRule type="containsText" dxfId="659" priority="268" stopIfTrue="1" operator="containsText" text="P">
      <formula>NOT(ISERROR(SEARCH("P",O109)))</formula>
    </cfRule>
    <cfRule type="containsText" dxfId="658" priority="267" stopIfTrue="1" operator="containsText" text="E">
      <formula>NOT(ISERROR(SEARCH("E",O109)))</formula>
    </cfRule>
    <cfRule type="containsText" dxfId="657" priority="266" stopIfTrue="1" operator="containsText" text="T">
      <formula>NOT(ISERROR(SEARCH("T",O109)))</formula>
    </cfRule>
    <cfRule type="containsText" dxfId="656" priority="273" stopIfTrue="1" operator="containsText" text="FN">
      <formula>NOT(ISERROR(SEARCH("FN",O109)))</formula>
    </cfRule>
    <cfRule type="containsText" dxfId="655" priority="272" stopIfTrue="1" operator="containsText" text="S">
      <formula>NOT(ISERROR(SEARCH("S",O109)))</formula>
    </cfRule>
  </conditionalFormatting>
  <conditionalFormatting sqref="O112">
    <cfRule type="containsText" dxfId="654" priority="237" stopIfTrue="1" operator="containsText" text="BH">
      <formula>NOT(ISERROR(SEARCH("BH",O112)))</formula>
    </cfRule>
    <cfRule type="containsText" dxfId="653" priority="241" stopIfTrue="1" operator="containsText" text="F">
      <formula>NOT(ISERROR(SEARCH("F",O112)))</formula>
    </cfRule>
    <cfRule type="containsText" dxfId="652" priority="240" stopIfTrue="1" operator="containsText" text="FN">
      <formula>NOT(ISERROR(SEARCH("FN",O112)))</formula>
    </cfRule>
    <cfRule type="containsText" dxfId="651" priority="239" stopIfTrue="1" operator="containsText" text="P">
      <formula>NOT(ISERROR(SEARCH("P",O112)))</formula>
    </cfRule>
    <cfRule type="containsText" dxfId="650" priority="238" stopIfTrue="1" operator="containsText" text="S.A">
      <formula>NOT(ISERROR(SEARCH("S.A",O112)))</formula>
    </cfRule>
  </conditionalFormatting>
  <conditionalFormatting sqref="O115 O108">
    <cfRule type="cellIs" dxfId="649" priority="1263" operator="equal">
      <formula>"FJ"</formula>
    </cfRule>
  </conditionalFormatting>
  <conditionalFormatting sqref="O115">
    <cfRule type="cellIs" dxfId="648" priority="1261" operator="equal">
      <formula>"FN"</formula>
    </cfRule>
    <cfRule type="containsText" dxfId="647" priority="1260" operator="containsText" text="FI">
      <formula>NOT(ISERROR(SEARCH("FI",O115)))</formula>
    </cfRule>
    <cfRule type="cellIs" dxfId="646" priority="1262" operator="equal">
      <formula>"F"</formula>
    </cfRule>
  </conditionalFormatting>
  <conditionalFormatting sqref="O115:P115 O108">
    <cfRule type="containsText" dxfId="645" priority="1231" operator="containsText" text="FJ">
      <formula>NOT(ISERROR(SEARCH("FJ",O108)))</formula>
    </cfRule>
    <cfRule type="containsText" dxfId="644" priority="1230" operator="containsText" text="fj">
      <formula>NOT(ISERROR(SEARCH("fj",O108)))</formula>
    </cfRule>
  </conditionalFormatting>
  <conditionalFormatting sqref="O115:P115">
    <cfRule type="cellIs" dxfId="643" priority="1233" operator="equal">
      <formula>"A"</formula>
    </cfRule>
  </conditionalFormatting>
  <conditionalFormatting sqref="O87:Q87">
    <cfRule type="containsText" dxfId="642" priority="906" stopIfTrue="1" operator="containsText" text="P">
      <formula>NOT(ISERROR(SEARCH("P",O87)))</formula>
    </cfRule>
    <cfRule type="containsText" dxfId="641" priority="907" stopIfTrue="1" operator="containsText" text="FJ">
      <formula>NOT(ISERROR(SEARCH("FJ",O87)))</formula>
    </cfRule>
    <cfRule type="containsText" dxfId="640" priority="911" stopIfTrue="1" operator="containsText" text="FN">
      <formula>NOT(ISERROR(SEARCH("FN",O87)))</formula>
    </cfRule>
    <cfRule type="containsText" dxfId="639" priority="908" stopIfTrue="1" operator="containsText" text="A">
      <formula>NOT(ISERROR(SEARCH("A",O87)))</formula>
    </cfRule>
    <cfRule type="containsText" dxfId="638" priority="909" stopIfTrue="1" operator="containsText" text="BH">
      <formula>NOT(ISERROR(SEARCH("BH",O87)))</formula>
    </cfRule>
    <cfRule type="containsText" dxfId="637" priority="905" stopIfTrue="1" operator="containsText" text="E">
      <formula>NOT(ISERROR(SEARCH("E",O87)))</formula>
    </cfRule>
    <cfRule type="containsText" dxfId="636" priority="910" stopIfTrue="1" operator="containsText" text="S">
      <formula>NOT(ISERROR(SEARCH("S",O87)))</formula>
    </cfRule>
    <cfRule type="containsText" dxfId="635" priority="904" stopIfTrue="1" operator="containsText" text="T">
      <formula>NOT(ISERROR(SEARCH("T",O87)))</formula>
    </cfRule>
  </conditionalFormatting>
  <conditionalFormatting sqref="O114:Q114">
    <cfRule type="containsText" dxfId="634" priority="262" stopIfTrue="1" operator="containsText" text="A">
      <formula>NOT(ISERROR(SEARCH("A",O114)))</formula>
    </cfRule>
    <cfRule type="containsText" dxfId="633" priority="258" stopIfTrue="1" operator="containsText" text="T">
      <formula>NOT(ISERROR(SEARCH("T",O114)))</formula>
    </cfRule>
    <cfRule type="containsText" dxfId="632" priority="265" stopIfTrue="1" operator="containsText" text="FN">
      <formula>NOT(ISERROR(SEARCH("FN",O114)))</formula>
    </cfRule>
    <cfRule type="containsText" dxfId="631" priority="263" stopIfTrue="1" operator="containsText" text="BH">
      <formula>NOT(ISERROR(SEARCH("BH",O114)))</formula>
    </cfRule>
    <cfRule type="containsText" dxfId="630" priority="259" stopIfTrue="1" operator="containsText" text="E">
      <formula>NOT(ISERROR(SEARCH("E",O114)))</formula>
    </cfRule>
    <cfRule type="containsText" dxfId="629" priority="260" stopIfTrue="1" operator="containsText" text="P">
      <formula>NOT(ISERROR(SEARCH("P",O114)))</formula>
    </cfRule>
    <cfRule type="containsText" dxfId="628" priority="264" stopIfTrue="1" operator="containsText" text="S">
      <formula>NOT(ISERROR(SEARCH("S",O114)))</formula>
    </cfRule>
    <cfRule type="containsText" dxfId="627" priority="261" stopIfTrue="1" operator="containsText" text="FJ">
      <formula>NOT(ISERROR(SEARCH("FJ",O114)))</formula>
    </cfRule>
  </conditionalFormatting>
  <conditionalFormatting sqref="O116:Q118">
    <cfRule type="containsText" dxfId="626" priority="599" stopIfTrue="1" operator="containsText" text="BH">
      <formula>NOT(ISERROR(SEARCH("BH",O116)))</formula>
    </cfRule>
    <cfRule type="containsText" dxfId="625" priority="594" stopIfTrue="1" operator="containsText" text="T">
      <formula>NOT(ISERROR(SEARCH("T",O116)))</formula>
    </cfRule>
    <cfRule type="containsText" dxfId="624" priority="595" stopIfTrue="1" operator="containsText" text="E">
      <formula>NOT(ISERROR(SEARCH("E",O116)))</formula>
    </cfRule>
    <cfRule type="containsText" dxfId="623" priority="596" stopIfTrue="1" operator="containsText" text="P">
      <formula>NOT(ISERROR(SEARCH("P",O116)))</formula>
    </cfRule>
    <cfRule type="containsText" dxfId="622" priority="600" stopIfTrue="1" operator="containsText" text="S">
      <formula>NOT(ISERROR(SEARCH("S",O116)))</formula>
    </cfRule>
    <cfRule type="containsText" dxfId="621" priority="601" stopIfTrue="1" operator="containsText" text="FN">
      <formula>NOT(ISERROR(SEARCH("FN",O116)))</formula>
    </cfRule>
    <cfRule type="containsText" dxfId="620" priority="597" stopIfTrue="1" operator="containsText" text="FJ">
      <formula>NOT(ISERROR(SEARCH("FJ",O116)))</formula>
    </cfRule>
    <cfRule type="containsText" dxfId="619" priority="598" stopIfTrue="1" operator="containsText" text="A">
      <formula>NOT(ISERROR(SEARCH("A",O116)))</formula>
    </cfRule>
  </conditionalFormatting>
  <conditionalFormatting sqref="O122:AR122">
    <cfRule type="containsText" dxfId="618" priority="1348" operator="containsText" text="28">
      <formula>NOT(ISERROR(SEARCH("28",O122)))</formula>
    </cfRule>
  </conditionalFormatting>
  <conditionalFormatting sqref="O123:AR129">
    <cfRule type="beginsWith" dxfId="617" priority="1347" operator="beginsWith" text="10">
      <formula>LEFT(O123,LEN("10"))="10"</formula>
    </cfRule>
  </conditionalFormatting>
  <conditionalFormatting sqref="P6:P28 P30:P46">
    <cfRule type="containsText" dxfId="616" priority="320" stopIfTrue="1" operator="containsText" text="S">
      <formula>NOT(ISERROR(SEARCH("S",P6)))</formula>
    </cfRule>
    <cfRule type="containsText" dxfId="615" priority="319" stopIfTrue="1" operator="containsText" text="BH">
      <formula>NOT(ISERROR(SEARCH("BH",P6)))</formula>
    </cfRule>
    <cfRule type="containsText" dxfId="614" priority="317" stopIfTrue="1" operator="containsText" text="FJ">
      <formula>NOT(ISERROR(SEARCH("FJ",P6)))</formula>
    </cfRule>
    <cfRule type="containsText" dxfId="613" priority="315" stopIfTrue="1" operator="containsText" text="E">
      <formula>NOT(ISERROR(SEARCH("E",P6)))</formula>
    </cfRule>
    <cfRule type="containsText" dxfId="612" priority="321" stopIfTrue="1" operator="containsText" text="FN">
      <formula>NOT(ISERROR(SEARCH("FN",P6)))</formula>
    </cfRule>
    <cfRule type="containsText" dxfId="611" priority="314" stopIfTrue="1" operator="containsText" text="T">
      <formula>NOT(ISERROR(SEARCH("T",P6)))</formula>
    </cfRule>
    <cfRule type="containsText" dxfId="610" priority="316" stopIfTrue="1" operator="containsText" text="P">
      <formula>NOT(ISERROR(SEARCH("P",P6)))</formula>
    </cfRule>
    <cfRule type="containsText" dxfId="609" priority="318" stopIfTrue="1" operator="containsText" text="A">
      <formula>NOT(ISERROR(SEARCH("A",P6)))</formula>
    </cfRule>
  </conditionalFormatting>
  <conditionalFormatting sqref="P29">
    <cfRule type="containsText" dxfId="608" priority="61" stopIfTrue="1" operator="containsText" text="F">
      <formula>NOT(ISERROR(SEARCH("F",P29)))</formula>
    </cfRule>
    <cfRule type="containsText" dxfId="607" priority="60" stopIfTrue="1" operator="containsText" text="FN">
      <formula>NOT(ISERROR(SEARCH("FN",P29)))</formula>
    </cfRule>
    <cfRule type="containsText" dxfId="606" priority="59" stopIfTrue="1" operator="containsText" text="P">
      <formula>NOT(ISERROR(SEARCH("P",P29)))</formula>
    </cfRule>
    <cfRule type="containsText" dxfId="605" priority="58" stopIfTrue="1" operator="containsText" text="S.A">
      <formula>NOT(ISERROR(SEARCH("S.A",P29)))</formula>
    </cfRule>
    <cfRule type="containsText" dxfId="604" priority="57" stopIfTrue="1" operator="containsText" text="BH">
      <formula>NOT(ISERROR(SEARCH("BH",P29)))</formula>
    </cfRule>
  </conditionalFormatting>
  <conditionalFormatting sqref="P47 P52 P55">
    <cfRule type="cellIs" dxfId="603" priority="1211" operator="equal">
      <formula>"F"</formula>
    </cfRule>
    <cfRule type="cellIs" dxfId="602" priority="1208" operator="equal">
      <formula>"A"</formula>
    </cfRule>
    <cfRule type="cellIs" dxfId="601" priority="1199" operator="equal">
      <formula>"FN"</formula>
    </cfRule>
    <cfRule type="containsText" dxfId="600" priority="1195" operator="containsText" text="FI">
      <formula>NOT(ISERROR(SEARCH("FI",P47)))</formula>
    </cfRule>
    <cfRule type="cellIs" dxfId="599" priority="1207" operator="equal">
      <formula>"P"</formula>
    </cfRule>
    <cfRule type="containsText" dxfId="598" priority="1194" operator="containsText" text="FJ">
      <formula>NOT(ISERROR(SEARCH("FJ",P47)))</formula>
    </cfRule>
    <cfRule type="containsText" dxfId="597" priority="1193" operator="containsText" text="fj">
      <formula>NOT(ISERROR(SEARCH("fj",P47)))</formula>
    </cfRule>
  </conditionalFormatting>
  <conditionalFormatting sqref="P48 P50:P51">
    <cfRule type="containsText" dxfId="596" priority="330" stopIfTrue="1" operator="containsText" text="T">
      <formula>NOT(ISERROR(SEARCH("T",P48)))</formula>
    </cfRule>
    <cfRule type="containsText" dxfId="595" priority="331" stopIfTrue="1" operator="containsText" text="E">
      <formula>NOT(ISERROR(SEARCH("E",P48)))</formula>
    </cfRule>
    <cfRule type="containsText" dxfId="594" priority="332" stopIfTrue="1" operator="containsText" text="P">
      <formula>NOT(ISERROR(SEARCH("P",P48)))</formula>
    </cfRule>
    <cfRule type="containsText" dxfId="593" priority="335" stopIfTrue="1" operator="containsText" text="BH">
      <formula>NOT(ISERROR(SEARCH("BH",P48)))</formula>
    </cfRule>
    <cfRule type="containsText" dxfId="592" priority="336" stopIfTrue="1" operator="containsText" text="S">
      <formula>NOT(ISERROR(SEARCH("S",P48)))</formula>
    </cfRule>
    <cfRule type="containsText" dxfId="591" priority="337" stopIfTrue="1" operator="containsText" text="FN">
      <formula>NOT(ISERROR(SEARCH("FN",P48)))</formula>
    </cfRule>
    <cfRule type="containsText" dxfId="590" priority="334" stopIfTrue="1" operator="containsText" text="A">
      <formula>NOT(ISERROR(SEARCH("A",P48)))</formula>
    </cfRule>
    <cfRule type="containsText" dxfId="589" priority="333" stopIfTrue="1" operator="containsText" text="FJ">
      <formula>NOT(ISERROR(SEARCH("FJ",P48)))</formula>
    </cfRule>
  </conditionalFormatting>
  <conditionalFormatting sqref="P49">
    <cfRule type="containsText" dxfId="588" priority="93" stopIfTrue="1" operator="containsText" text="S.A">
      <formula>NOT(ISERROR(SEARCH("S.A",P49)))</formula>
    </cfRule>
    <cfRule type="containsText" dxfId="587" priority="94" stopIfTrue="1" operator="containsText" text="P">
      <formula>NOT(ISERROR(SEARCH("P",P49)))</formula>
    </cfRule>
    <cfRule type="containsText" dxfId="586" priority="95" stopIfTrue="1" operator="containsText" text="FN">
      <formula>NOT(ISERROR(SEARCH("FN",P49)))</formula>
    </cfRule>
    <cfRule type="containsText" dxfId="585" priority="96" stopIfTrue="1" operator="containsText" text="F">
      <formula>NOT(ISERROR(SEARCH("F",P49)))</formula>
    </cfRule>
    <cfRule type="containsText" dxfId="584" priority="92" stopIfTrue="1" operator="containsText" text="BH">
      <formula>NOT(ISERROR(SEARCH("BH",P49)))</formula>
    </cfRule>
  </conditionalFormatting>
  <conditionalFormatting sqref="P53:P54">
    <cfRule type="containsText" dxfId="583" priority="712" stopIfTrue="1" operator="containsText" text="S">
      <formula>NOT(ISERROR(SEARCH("S",P53)))</formula>
    </cfRule>
    <cfRule type="containsText" dxfId="582" priority="713" stopIfTrue="1" operator="containsText" text="FN">
      <formula>NOT(ISERROR(SEARCH("FN",P53)))</formula>
    </cfRule>
    <cfRule type="containsText" dxfId="581" priority="707" stopIfTrue="1" operator="containsText" text="E">
      <formula>NOT(ISERROR(SEARCH("E",P53)))</formula>
    </cfRule>
    <cfRule type="containsText" dxfId="580" priority="706" stopIfTrue="1" operator="containsText" text="T">
      <formula>NOT(ISERROR(SEARCH("T",P53)))</formula>
    </cfRule>
    <cfRule type="containsText" dxfId="579" priority="709" stopIfTrue="1" operator="containsText" text="FJ">
      <formula>NOT(ISERROR(SEARCH("FJ",P53)))</formula>
    </cfRule>
    <cfRule type="containsText" dxfId="578" priority="708" stopIfTrue="1" operator="containsText" text="P">
      <formula>NOT(ISERROR(SEARCH("P",P53)))</formula>
    </cfRule>
    <cfRule type="containsText" dxfId="577" priority="710" stopIfTrue="1" operator="containsText" text="A">
      <formula>NOT(ISERROR(SEARCH("A",P53)))</formula>
    </cfRule>
    <cfRule type="containsText" dxfId="576" priority="711" stopIfTrue="1" operator="containsText" text="BH">
      <formula>NOT(ISERROR(SEARCH("BH",P53)))</formula>
    </cfRule>
  </conditionalFormatting>
  <conditionalFormatting sqref="P56:P58">
    <cfRule type="containsText" dxfId="575" priority="705" stopIfTrue="1" operator="containsText" text="FN">
      <formula>NOT(ISERROR(SEARCH("FN",P56)))</formula>
    </cfRule>
    <cfRule type="containsText" dxfId="574" priority="700" stopIfTrue="1" operator="containsText" text="P">
      <formula>NOT(ISERROR(SEARCH("P",P56)))</formula>
    </cfRule>
    <cfRule type="containsText" dxfId="573" priority="704" stopIfTrue="1" operator="containsText" text="S">
      <formula>NOT(ISERROR(SEARCH("S",P56)))</formula>
    </cfRule>
    <cfRule type="containsText" dxfId="572" priority="703" stopIfTrue="1" operator="containsText" text="BH">
      <formula>NOT(ISERROR(SEARCH("BH",P56)))</formula>
    </cfRule>
    <cfRule type="containsText" dxfId="571" priority="702" stopIfTrue="1" operator="containsText" text="A">
      <formula>NOT(ISERROR(SEARCH("A",P56)))</formula>
    </cfRule>
    <cfRule type="containsText" dxfId="570" priority="701" stopIfTrue="1" operator="containsText" text="FJ">
      <formula>NOT(ISERROR(SEARCH("FJ",P56)))</formula>
    </cfRule>
    <cfRule type="containsText" dxfId="569" priority="698" stopIfTrue="1" operator="containsText" text="T">
      <formula>NOT(ISERROR(SEARCH("T",P56)))</formula>
    </cfRule>
    <cfRule type="containsText" dxfId="568" priority="699" stopIfTrue="1" operator="containsText" text="E">
      <formula>NOT(ISERROR(SEARCH("E",P56)))</formula>
    </cfRule>
  </conditionalFormatting>
  <conditionalFormatting sqref="P115 P47 P52 P55">
    <cfRule type="cellIs" dxfId="567" priority="1229" operator="equal">
      <formula>"FJ"</formula>
    </cfRule>
  </conditionalFormatting>
  <conditionalFormatting sqref="P115">
    <cfRule type="cellIs" dxfId="566" priority="1228" operator="equal">
      <formula>"F"</formula>
    </cfRule>
    <cfRule type="containsText" dxfId="565" priority="1227" operator="containsText" text="FI">
      <formula>NOT(ISERROR(SEARCH("FI",P115)))</formula>
    </cfRule>
  </conditionalFormatting>
  <conditionalFormatting sqref="P88:Q109 P111 P112:Q113">
    <cfRule type="containsText" dxfId="564" priority="279" stopIfTrue="1" operator="containsText" text="BH">
      <formula>NOT(ISERROR(SEARCH("BH",P88)))</formula>
    </cfRule>
    <cfRule type="containsText" dxfId="563" priority="280" stopIfTrue="1" operator="containsText" text="S">
      <formula>NOT(ISERROR(SEARCH("S",P88)))</formula>
    </cfRule>
    <cfRule type="containsText" dxfId="562" priority="281" stopIfTrue="1" operator="containsText" text="FN">
      <formula>NOT(ISERROR(SEARCH("FN",P88)))</formula>
    </cfRule>
    <cfRule type="containsText" dxfId="561" priority="276" stopIfTrue="1" operator="containsText" text="P">
      <formula>NOT(ISERROR(SEARCH("P",P88)))</formula>
    </cfRule>
    <cfRule type="containsText" dxfId="560" priority="274" stopIfTrue="1" operator="containsText" text="T">
      <formula>NOT(ISERROR(SEARCH("T",P88)))</formula>
    </cfRule>
    <cfRule type="containsText" dxfId="559" priority="275" stopIfTrue="1" operator="containsText" text="E">
      <formula>NOT(ISERROR(SEARCH("E",P88)))</formula>
    </cfRule>
    <cfRule type="containsText" dxfId="558" priority="277" stopIfTrue="1" operator="containsText" text="FJ">
      <formula>NOT(ISERROR(SEARCH("FJ",P88)))</formula>
    </cfRule>
    <cfRule type="containsText" dxfId="557" priority="278" stopIfTrue="1" operator="containsText" text="A">
      <formula>NOT(ISERROR(SEARCH("A",P88)))</formula>
    </cfRule>
  </conditionalFormatting>
  <conditionalFormatting sqref="P115:Q115">
    <cfRule type="cellIs" dxfId="556" priority="1181" operator="equal">
      <formula>"A"</formula>
    </cfRule>
    <cfRule type="cellIs" dxfId="555" priority="1152" operator="equal">
      <formula>"FN"</formula>
    </cfRule>
    <cfRule type="cellIs" dxfId="554" priority="1185" operator="equal">
      <formula>"FJ"</formula>
    </cfRule>
    <cfRule type="cellIs" dxfId="553" priority="1187" operator="equal">
      <formula>"P"</formula>
    </cfRule>
    <cfRule type="cellIs" dxfId="552" priority="1184" operator="equal">
      <formula>"F"</formula>
    </cfRule>
  </conditionalFormatting>
  <conditionalFormatting sqref="Q6:Q27 Q29:Q40 Q42:Q58">
    <cfRule type="containsText" dxfId="551" priority="306" stopIfTrue="1" operator="containsText" text="T">
      <formula>NOT(ISERROR(SEARCH("T",Q6)))</formula>
    </cfRule>
    <cfRule type="containsText" dxfId="550" priority="307" stopIfTrue="1" operator="containsText" text="E">
      <formula>NOT(ISERROR(SEARCH("E",Q6)))</formula>
    </cfRule>
    <cfRule type="containsText" dxfId="549" priority="308" stopIfTrue="1" operator="containsText" text="P">
      <formula>NOT(ISERROR(SEARCH("P",Q6)))</formula>
    </cfRule>
    <cfRule type="containsText" dxfId="548" priority="313" stopIfTrue="1" operator="containsText" text="FN">
      <formula>NOT(ISERROR(SEARCH("FN",Q6)))</formula>
    </cfRule>
    <cfRule type="containsText" dxfId="547" priority="312" stopIfTrue="1" operator="containsText" text="S">
      <formula>NOT(ISERROR(SEARCH("S",Q6)))</formula>
    </cfRule>
    <cfRule type="containsText" dxfId="546" priority="310" stopIfTrue="1" operator="containsText" text="A">
      <formula>NOT(ISERROR(SEARCH("A",Q6)))</formula>
    </cfRule>
    <cfRule type="containsText" dxfId="545" priority="309" stopIfTrue="1" operator="containsText" text="FJ">
      <formula>NOT(ISERROR(SEARCH("FJ",Q6)))</formula>
    </cfRule>
    <cfRule type="containsText" dxfId="544" priority="311" stopIfTrue="1" operator="containsText" text="BH">
      <formula>NOT(ISERROR(SEARCH("BH",Q6)))</formula>
    </cfRule>
  </conditionalFormatting>
  <conditionalFormatting sqref="Q28">
    <cfRule type="containsText" dxfId="543" priority="64" stopIfTrue="1" operator="containsText" text="P">
      <formula>NOT(ISERROR(SEARCH("P",Q28)))</formula>
    </cfRule>
    <cfRule type="containsText" dxfId="542" priority="65" stopIfTrue="1" operator="containsText" text="FN">
      <formula>NOT(ISERROR(SEARCH("FN",Q28)))</formula>
    </cfRule>
    <cfRule type="containsText" dxfId="541" priority="66" stopIfTrue="1" operator="containsText" text="F">
      <formula>NOT(ISERROR(SEARCH("F",Q28)))</formula>
    </cfRule>
    <cfRule type="containsText" dxfId="540" priority="62" stopIfTrue="1" operator="containsText" text="BH">
      <formula>NOT(ISERROR(SEARCH("BH",Q28)))</formula>
    </cfRule>
    <cfRule type="containsText" dxfId="539" priority="63" stopIfTrue="1" operator="containsText" text="S.A">
      <formula>NOT(ISERROR(SEARCH("S.A",Q28)))</formula>
    </cfRule>
  </conditionalFormatting>
  <conditionalFormatting sqref="Q41">
    <cfRule type="containsText" dxfId="538" priority="99" stopIfTrue="1" operator="containsText" text="P">
      <formula>NOT(ISERROR(SEARCH("P",Q41)))</formula>
    </cfRule>
    <cfRule type="containsText" dxfId="537" priority="98" stopIfTrue="1" operator="containsText" text="S.A">
      <formula>NOT(ISERROR(SEARCH("S.A",Q41)))</formula>
    </cfRule>
    <cfRule type="containsText" dxfId="536" priority="97" stopIfTrue="1" operator="containsText" text="BH">
      <formula>NOT(ISERROR(SEARCH("BH",Q41)))</formula>
    </cfRule>
    <cfRule type="containsText" dxfId="535" priority="101" stopIfTrue="1" operator="containsText" text="F">
      <formula>NOT(ISERROR(SEARCH("F",Q41)))</formula>
    </cfRule>
    <cfRule type="containsText" dxfId="534" priority="100" stopIfTrue="1" operator="containsText" text="FN">
      <formula>NOT(ISERROR(SEARCH("FN",Q41)))</formula>
    </cfRule>
  </conditionalFormatting>
  <conditionalFormatting sqref="Q111">
    <cfRule type="containsText" dxfId="533" priority="233" stopIfTrue="1" operator="containsText" text="S.A">
      <formula>NOT(ISERROR(SEARCH("S.A",Q111)))</formula>
    </cfRule>
    <cfRule type="containsText" dxfId="532" priority="232" stopIfTrue="1" operator="containsText" text="BH">
      <formula>NOT(ISERROR(SEARCH("BH",Q111)))</formula>
    </cfRule>
    <cfRule type="containsText" dxfId="531" priority="236" stopIfTrue="1" operator="containsText" text="F">
      <formula>NOT(ISERROR(SEARCH("F",Q111)))</formula>
    </cfRule>
    <cfRule type="containsText" dxfId="530" priority="235" stopIfTrue="1" operator="containsText" text="FN">
      <formula>NOT(ISERROR(SEARCH("FN",Q111)))</formula>
    </cfRule>
    <cfRule type="containsText" dxfId="529" priority="234" stopIfTrue="1" operator="containsText" text="P">
      <formula>NOT(ISERROR(SEARCH("P",Q111)))</formula>
    </cfRule>
  </conditionalFormatting>
  <conditionalFormatting sqref="Q115">
    <cfRule type="cellIs" dxfId="528" priority="1123" operator="equal">
      <formula>"P"</formula>
    </cfRule>
    <cfRule type="cellIs" dxfId="527" priority="1153" operator="equal">
      <formula>"FJ"</formula>
    </cfRule>
    <cfRule type="cellIs" dxfId="526" priority="1155" operator="equal">
      <formula>"F"</formula>
    </cfRule>
    <cfRule type="containsText" dxfId="525" priority="1178" operator="containsText" text="fj">
      <formula>NOT(ISERROR(SEARCH("fj",Q115)))</formula>
    </cfRule>
    <cfRule type="containsText" dxfId="524" priority="1179" operator="containsText" text="FJ">
      <formula>NOT(ISERROR(SEARCH("FJ",Q115)))</formula>
    </cfRule>
    <cfRule type="containsText" dxfId="523" priority="1182" operator="containsText" text="FI">
      <formula>NOT(ISERROR(SEARCH("FI",Q115)))</formula>
    </cfRule>
    <cfRule type="cellIs" dxfId="522" priority="1183" operator="equal">
      <formula>"FN"</formula>
    </cfRule>
  </conditionalFormatting>
  <conditionalFormatting sqref="R6:U109">
    <cfRule type="containsText" dxfId="521" priority="246" stopIfTrue="1" operator="containsText" text="A">
      <formula>NOT(ISERROR(SEARCH("A",R6)))</formula>
    </cfRule>
    <cfRule type="containsText" dxfId="520" priority="247" stopIfTrue="1" operator="containsText" text="BH">
      <formula>NOT(ISERROR(SEARCH("BH",R6)))</formula>
    </cfRule>
    <cfRule type="containsText" dxfId="519" priority="244" stopIfTrue="1" operator="containsText" text="P">
      <formula>NOT(ISERROR(SEARCH("P",R6)))</formula>
    </cfRule>
    <cfRule type="containsText" dxfId="518" priority="248" stopIfTrue="1" operator="containsText" text="S">
      <formula>NOT(ISERROR(SEARCH("S",R6)))</formula>
    </cfRule>
    <cfRule type="containsText" dxfId="517" priority="249" stopIfTrue="1" operator="containsText" text="FN">
      <formula>NOT(ISERROR(SEARCH("FN",R6)))</formula>
    </cfRule>
    <cfRule type="containsText" dxfId="516" priority="243" stopIfTrue="1" operator="containsText" text="E">
      <formula>NOT(ISERROR(SEARCH("E",R6)))</formula>
    </cfRule>
    <cfRule type="containsText" dxfId="515" priority="242" stopIfTrue="1" operator="containsText" text="T">
      <formula>NOT(ISERROR(SEARCH("T",R6)))</formula>
    </cfRule>
    <cfRule type="containsText" dxfId="514" priority="245" stopIfTrue="1" operator="containsText" text="FJ">
      <formula>NOT(ISERROR(SEARCH("FJ",R6)))</formula>
    </cfRule>
  </conditionalFormatting>
  <conditionalFormatting sqref="R111:U111">
    <cfRule type="containsText" dxfId="513" priority="378" stopIfTrue="1" operator="containsText" text="T">
      <formula>NOT(ISERROR(SEARCH("T",R111)))</formula>
    </cfRule>
    <cfRule type="containsText" dxfId="512" priority="379" stopIfTrue="1" operator="containsText" text="E">
      <formula>NOT(ISERROR(SEARCH("E",R111)))</formula>
    </cfRule>
    <cfRule type="containsText" dxfId="511" priority="380" stopIfTrue="1" operator="containsText" text="P">
      <formula>NOT(ISERROR(SEARCH("P",R111)))</formula>
    </cfRule>
    <cfRule type="containsText" dxfId="510" priority="381" stopIfTrue="1" operator="containsText" text="FJ">
      <formula>NOT(ISERROR(SEARCH("FJ",R111)))</formula>
    </cfRule>
    <cfRule type="containsText" dxfId="509" priority="382" stopIfTrue="1" operator="containsText" text="A">
      <formula>NOT(ISERROR(SEARCH("A",R111)))</formula>
    </cfRule>
    <cfRule type="containsText" dxfId="508" priority="383" stopIfTrue="1" operator="containsText" text="BH">
      <formula>NOT(ISERROR(SEARCH("BH",R111)))</formula>
    </cfRule>
    <cfRule type="containsText" dxfId="507" priority="384" stopIfTrue="1" operator="containsText" text="S">
      <formula>NOT(ISERROR(SEARCH("S",R111)))</formula>
    </cfRule>
    <cfRule type="containsText" dxfId="506" priority="385" stopIfTrue="1" operator="containsText" text="FN">
      <formula>NOT(ISERROR(SEARCH("FN",R111)))</formula>
    </cfRule>
  </conditionalFormatting>
  <conditionalFormatting sqref="R112:V118">
    <cfRule type="containsText" dxfId="505" priority="256" stopIfTrue="1" operator="containsText" text="S">
      <formula>NOT(ISERROR(SEARCH("S",R112)))</formula>
    </cfRule>
    <cfRule type="containsText" dxfId="504" priority="257" stopIfTrue="1" operator="containsText" text="FN">
      <formula>NOT(ISERROR(SEARCH("FN",R112)))</formula>
    </cfRule>
    <cfRule type="containsText" dxfId="503" priority="250" stopIfTrue="1" operator="containsText" text="T">
      <formula>NOT(ISERROR(SEARCH("T",R112)))</formula>
    </cfRule>
    <cfRule type="containsText" dxfId="502" priority="251" stopIfTrue="1" operator="containsText" text="E">
      <formula>NOT(ISERROR(SEARCH("E",R112)))</formula>
    </cfRule>
    <cfRule type="containsText" dxfId="501" priority="252" stopIfTrue="1" operator="containsText" text="P">
      <formula>NOT(ISERROR(SEARCH("P",R112)))</formula>
    </cfRule>
    <cfRule type="containsText" dxfId="500" priority="253" stopIfTrue="1" operator="containsText" text="FJ">
      <formula>NOT(ISERROR(SEARCH("FJ",R112)))</formula>
    </cfRule>
    <cfRule type="containsText" dxfId="499" priority="254" stopIfTrue="1" operator="containsText" text="A">
      <formula>NOT(ISERROR(SEARCH("A",R112)))</formula>
    </cfRule>
    <cfRule type="containsText" dxfId="498" priority="255" stopIfTrue="1" operator="containsText" text="BH">
      <formula>NOT(ISERROR(SEARCH("BH",R112)))</formula>
    </cfRule>
  </conditionalFormatting>
  <conditionalFormatting sqref="V61:V62">
    <cfRule type="containsText" dxfId="497" priority="121" stopIfTrue="1" operator="containsText" text="F">
      <formula>NOT(ISERROR(SEARCH("F",V61)))</formula>
    </cfRule>
    <cfRule type="containsText" dxfId="496" priority="120" stopIfTrue="1" operator="containsText" text="FN">
      <formula>NOT(ISERROR(SEARCH("FN",V61)))</formula>
    </cfRule>
    <cfRule type="containsText" dxfId="495" priority="117" stopIfTrue="1" operator="containsText" text="BH">
      <formula>NOT(ISERROR(SEARCH("BH",V61)))</formula>
    </cfRule>
    <cfRule type="containsText" dxfId="494" priority="118" stopIfTrue="1" operator="containsText" text="S.A">
      <formula>NOT(ISERROR(SEARCH("S.A",V61)))</formula>
    </cfRule>
    <cfRule type="containsText" dxfId="493" priority="119" stopIfTrue="1" operator="containsText" text="P">
      <formula>NOT(ISERROR(SEARCH("P",V61)))</formula>
    </cfRule>
  </conditionalFormatting>
  <conditionalFormatting sqref="V94">
    <cfRule type="containsText" dxfId="492" priority="200" stopIfTrue="1" operator="containsText" text="FN">
      <formula>NOT(ISERROR(SEARCH("FN",V94)))</formula>
    </cfRule>
    <cfRule type="containsText" dxfId="491" priority="201" stopIfTrue="1" operator="containsText" text="F">
      <formula>NOT(ISERROR(SEARCH("F",V94)))</formula>
    </cfRule>
    <cfRule type="containsText" dxfId="490" priority="197" stopIfTrue="1" operator="containsText" text="BH">
      <formula>NOT(ISERROR(SEARCH("BH",V94)))</formula>
    </cfRule>
    <cfRule type="containsText" dxfId="489" priority="198" stopIfTrue="1" operator="containsText" text="S.A">
      <formula>NOT(ISERROR(SEARCH("S.A",V94)))</formula>
    </cfRule>
    <cfRule type="containsText" dxfId="488" priority="199" stopIfTrue="1" operator="containsText" text="P">
      <formula>NOT(ISERROR(SEARCH("P",V94)))</formula>
    </cfRule>
  </conditionalFormatting>
  <conditionalFormatting sqref="V96">
    <cfRule type="containsText" dxfId="487" priority="183" stopIfTrue="1" operator="containsText" text="S.A">
      <formula>NOT(ISERROR(SEARCH("S.A",V96)))</formula>
    </cfRule>
    <cfRule type="containsText" dxfId="486" priority="182" stopIfTrue="1" operator="containsText" text="BH">
      <formula>NOT(ISERROR(SEARCH("BH",V96)))</formula>
    </cfRule>
    <cfRule type="containsText" dxfId="485" priority="184" stopIfTrue="1" operator="containsText" text="P">
      <formula>NOT(ISERROR(SEARCH("P",V96)))</formula>
    </cfRule>
    <cfRule type="containsText" dxfId="484" priority="186" stopIfTrue="1" operator="containsText" text="F">
      <formula>NOT(ISERROR(SEARCH("F",V96)))</formula>
    </cfRule>
    <cfRule type="containsText" dxfId="483" priority="185" stopIfTrue="1" operator="containsText" text="FN">
      <formula>NOT(ISERROR(SEARCH("FN",V96)))</formula>
    </cfRule>
  </conditionalFormatting>
  <conditionalFormatting sqref="V41:W41">
    <cfRule type="containsText" dxfId="482" priority="106" stopIfTrue="1" operator="containsText" text="F">
      <formula>NOT(ISERROR(SEARCH("F",V41)))</formula>
    </cfRule>
    <cfRule type="containsText" dxfId="481" priority="105" stopIfTrue="1" operator="containsText" text="FN">
      <formula>NOT(ISERROR(SEARCH("FN",V41)))</formula>
    </cfRule>
    <cfRule type="containsText" dxfId="480" priority="104" stopIfTrue="1" operator="containsText" text="P">
      <formula>NOT(ISERROR(SEARCH("P",V41)))</formula>
    </cfRule>
    <cfRule type="containsText" dxfId="479" priority="103" stopIfTrue="1" operator="containsText" text="S.A">
      <formula>NOT(ISERROR(SEARCH("S.A",V41)))</formula>
    </cfRule>
    <cfRule type="containsText" dxfId="478" priority="102" stopIfTrue="1" operator="containsText" text="BH">
      <formula>NOT(ISERROR(SEARCH("BH",V41)))</formula>
    </cfRule>
  </conditionalFormatting>
  <conditionalFormatting sqref="V111:W111">
    <cfRule type="containsText" dxfId="477" priority="46" stopIfTrue="1" operator="containsText" text="F">
      <formula>NOT(ISERROR(SEARCH("F",V111)))</formula>
    </cfRule>
    <cfRule type="containsText" dxfId="476" priority="45" stopIfTrue="1" operator="containsText" text="FN">
      <formula>NOT(ISERROR(SEARCH("FN",V111)))</formula>
    </cfRule>
    <cfRule type="containsText" dxfId="475" priority="43" stopIfTrue="1" operator="containsText" text="S.A">
      <formula>NOT(ISERROR(SEARCH("S.A",V111)))</formula>
    </cfRule>
    <cfRule type="containsText" dxfId="474" priority="42" stopIfTrue="1" operator="containsText" text="BH">
      <formula>NOT(ISERROR(SEARCH("BH",V111)))</formula>
    </cfRule>
    <cfRule type="containsText" dxfId="473" priority="44" stopIfTrue="1" operator="containsText" text="P">
      <formula>NOT(ISERROR(SEARCH("P",V111)))</formula>
    </cfRule>
  </conditionalFormatting>
  <conditionalFormatting sqref="V6:AR12 O6:O86 V13:AE13 AG13:AR13 V14:AR32 V33:AD33 AF33:AR33 V34:AE34 AH34:AR34 V35:AR40 X41:AR41 V42:AR51 V52:AF52 AH52:AR52 V53:AR55 V56:AP56 AQ56:AR103 V57:AJ60 AK57:AN64 AO57:AP69 P59:Q86 W61:AJ61 X62:AJ62 V63:AJ63 V64:AC64 AF64:AJ64 V65:AB65 AD65:AM65 AN65:AN69 V66:AM69 V70:AP70 V71:AB71 AH71:AP71 V72:AJ72 AK72:AP78 V73:W73 Y73:AJ73 V74:AJ76 V77:AD77 AF77:AJ78 V78:AC78 V79:AN79 AO79:AP92 V80:AB80 AH80:AN80 V81:AF81 AH81:AI81 AK81:AN87 V82:AJ82 V83:W83 Y83:AJ83 V84:AJ87 V88:AN88 V89:AJ89 AK89:AN92 V90:Y90 AA90:AJ90 V91:AJ93 AK93:AP100 W94:AJ94 V95:AJ95 W96:Y96 AA96:AJ96 V97:AJ100 V101:AP103 V104:X104 Z104:AR104 V105:AR109 Z116:AR118">
    <cfRule type="containsText" dxfId="472" priority="350" stopIfTrue="1" operator="containsText" text="A">
      <formula>NOT(ISERROR(SEARCH("A",O6)))</formula>
    </cfRule>
    <cfRule type="containsText" dxfId="471" priority="351" stopIfTrue="1" operator="containsText" text="BH">
      <formula>NOT(ISERROR(SEARCH("BH",O6)))</formula>
    </cfRule>
    <cfRule type="containsText" dxfId="470" priority="352" stopIfTrue="1" operator="containsText" text="S">
      <formula>NOT(ISERROR(SEARCH("S",O6)))</formula>
    </cfRule>
    <cfRule type="containsText" dxfId="469" priority="353" stopIfTrue="1" operator="containsText" text="FN">
      <formula>NOT(ISERROR(SEARCH("FN",O6)))</formula>
    </cfRule>
    <cfRule type="containsText" dxfId="468" priority="346" stopIfTrue="1" operator="containsText" text="T">
      <formula>NOT(ISERROR(SEARCH("T",O6)))</formula>
    </cfRule>
    <cfRule type="containsText" dxfId="467" priority="348" stopIfTrue="1" operator="containsText" text="P">
      <formula>NOT(ISERROR(SEARCH("P",O6)))</formula>
    </cfRule>
    <cfRule type="containsText" dxfId="466" priority="349" stopIfTrue="1" operator="containsText" text="FJ">
      <formula>NOT(ISERROR(SEARCH("FJ",O6)))</formula>
    </cfRule>
    <cfRule type="containsText" dxfId="465" priority="347" stopIfTrue="1" operator="containsText" text="E">
      <formula>NOT(ISERROR(SEARCH("E",O6)))</formula>
    </cfRule>
  </conditionalFormatting>
  <conditionalFormatting sqref="W62">
    <cfRule type="containsText" dxfId="464" priority="115" stopIfTrue="1" operator="containsText" text="FN">
      <formula>NOT(ISERROR(SEARCH("FN",W62)))</formula>
    </cfRule>
    <cfRule type="containsText" dxfId="463" priority="114" stopIfTrue="1" operator="containsText" text="P">
      <formula>NOT(ISERROR(SEARCH("P",W62)))</formula>
    </cfRule>
    <cfRule type="containsText" dxfId="462" priority="113" stopIfTrue="1" operator="containsText" text="S.A">
      <formula>NOT(ISERROR(SEARCH("S.A",W62)))</formula>
    </cfRule>
    <cfRule type="containsText" dxfId="461" priority="112" stopIfTrue="1" operator="containsText" text="BH">
      <formula>NOT(ISERROR(SEARCH("BH",W62)))</formula>
    </cfRule>
    <cfRule type="containsText" dxfId="460" priority="116" stopIfTrue="1" operator="containsText" text="F">
      <formula>NOT(ISERROR(SEARCH("F",W62)))</formula>
    </cfRule>
  </conditionalFormatting>
  <conditionalFormatting sqref="W112:W114">
    <cfRule type="containsText" dxfId="459" priority="34" stopIfTrue="1" operator="containsText" text="P">
      <formula>NOT(ISERROR(SEARCH("P",W112)))</formula>
    </cfRule>
  </conditionalFormatting>
  <conditionalFormatting sqref="W114">
    <cfRule type="containsText" dxfId="458" priority="33" stopIfTrue="1" operator="containsText" text="S.A">
      <formula>NOT(ISERROR(SEARCH("S.A",W114)))</formula>
    </cfRule>
    <cfRule type="containsText" dxfId="457" priority="35" stopIfTrue="1" operator="containsText" text="FN">
      <formula>NOT(ISERROR(SEARCH("FN",W114)))</formula>
    </cfRule>
    <cfRule type="containsText" dxfId="456" priority="36" stopIfTrue="1" operator="containsText" text="F">
      <formula>NOT(ISERROR(SEARCH("F",W114)))</formula>
    </cfRule>
  </conditionalFormatting>
  <conditionalFormatting sqref="W115">
    <cfRule type="cellIs" dxfId="455" priority="1052" operator="equal">
      <formula>"F"</formula>
    </cfRule>
    <cfRule type="cellIs" dxfId="454" priority="1051" operator="equal">
      <formula>"FJ"</formula>
    </cfRule>
    <cfRule type="cellIs" dxfId="453" priority="1034" operator="equal">
      <formula>"FN"</formula>
    </cfRule>
    <cfRule type="containsText" dxfId="452" priority="1056" operator="containsText" text="FJ">
      <formula>NOT(ISERROR(SEARCH("FJ",W115)))</formula>
    </cfRule>
    <cfRule type="containsText" dxfId="451" priority="1055" operator="containsText" text="fj">
      <formula>NOT(ISERROR(SEARCH("fj",W115)))</formula>
    </cfRule>
    <cfRule type="cellIs" dxfId="450" priority="1054" operator="equal">
      <formula>"A"</formula>
    </cfRule>
    <cfRule type="cellIs" dxfId="449" priority="1053" operator="equal">
      <formula>"P"</formula>
    </cfRule>
    <cfRule type="containsText" dxfId="448" priority="1050" operator="containsText" text="FI">
      <formula>NOT(ISERROR(SEARCH("FI",W115)))</formula>
    </cfRule>
  </conditionalFormatting>
  <conditionalFormatting sqref="W116:X118">
    <cfRule type="containsText" dxfId="447" priority="452" stopIfTrue="1" operator="containsText" text="P">
      <formula>NOT(ISERROR(SEARCH("P",W116)))</formula>
    </cfRule>
    <cfRule type="containsText" dxfId="446" priority="451" stopIfTrue="1" operator="containsText" text="E">
      <formula>NOT(ISERROR(SEARCH("E",W116)))</formula>
    </cfRule>
    <cfRule type="containsText" dxfId="445" priority="450" stopIfTrue="1" operator="containsText" text="T">
      <formula>NOT(ISERROR(SEARCH("T",W116)))</formula>
    </cfRule>
    <cfRule type="containsText" dxfId="444" priority="457" stopIfTrue="1" operator="containsText" text="FN">
      <formula>NOT(ISERROR(SEARCH("FN",W116)))</formula>
    </cfRule>
    <cfRule type="containsText" dxfId="443" priority="456" stopIfTrue="1" operator="containsText" text="S">
      <formula>NOT(ISERROR(SEARCH("S",W116)))</formula>
    </cfRule>
    <cfRule type="containsText" dxfId="442" priority="455" stopIfTrue="1" operator="containsText" text="BH">
      <formula>NOT(ISERROR(SEARCH("BH",W116)))</formula>
    </cfRule>
    <cfRule type="containsText" dxfId="441" priority="454" stopIfTrue="1" operator="containsText" text="A">
      <formula>NOT(ISERROR(SEARCH("A",W116)))</formula>
    </cfRule>
    <cfRule type="containsText" dxfId="440" priority="453" stopIfTrue="1" operator="containsText" text="FJ">
      <formula>NOT(ISERROR(SEARCH("FJ",W116)))</formula>
    </cfRule>
  </conditionalFormatting>
  <conditionalFormatting sqref="W112:AH113">
    <cfRule type="containsText" dxfId="439" priority="377" stopIfTrue="1" operator="containsText" text="FN">
      <formula>NOT(ISERROR(SEARCH("FN",W112)))</formula>
    </cfRule>
    <cfRule type="containsText" dxfId="438" priority="373" stopIfTrue="1" operator="containsText" text="FJ">
      <formula>NOT(ISERROR(SEARCH("FJ",W112)))</formula>
    </cfRule>
    <cfRule type="containsText" dxfId="437" priority="376" stopIfTrue="1" operator="containsText" text="S">
      <formula>NOT(ISERROR(SEARCH("S",W112)))</formula>
    </cfRule>
    <cfRule type="containsText" dxfId="436" priority="375" stopIfTrue="1" operator="containsText" text="BH">
      <formula>NOT(ISERROR(SEARCH("BH",W112)))</formula>
    </cfRule>
    <cfRule type="containsText" dxfId="435" priority="374" stopIfTrue="1" operator="containsText" text="A">
      <formula>NOT(ISERROR(SEARCH("A",W112)))</formula>
    </cfRule>
  </conditionalFormatting>
  <conditionalFormatting sqref="W112:AR113 X114:AR115">
    <cfRule type="containsText" dxfId="434" priority="1" stopIfTrue="1" operator="containsText" text="T">
      <formula>NOT(ISERROR(SEARCH("T",W112)))</formula>
    </cfRule>
    <cfRule type="containsText" dxfId="433" priority="2" stopIfTrue="1" operator="containsText" text="E">
      <formula>NOT(ISERROR(SEARCH("E",W112)))</formula>
    </cfRule>
  </conditionalFormatting>
  <conditionalFormatting sqref="X73">
    <cfRule type="containsText" dxfId="432" priority="179" stopIfTrue="1" operator="containsText" text="P">
      <formula>NOT(ISERROR(SEARCH("P",X73)))</formula>
    </cfRule>
    <cfRule type="containsText" dxfId="431" priority="178" stopIfTrue="1" operator="containsText" text="S.A">
      <formula>NOT(ISERROR(SEARCH("S.A",X73)))</formula>
    </cfRule>
    <cfRule type="containsText" dxfId="430" priority="177" stopIfTrue="1" operator="containsText" text="BH">
      <formula>NOT(ISERROR(SEARCH("BH",X73)))</formula>
    </cfRule>
    <cfRule type="containsText" dxfId="429" priority="181" stopIfTrue="1" operator="containsText" text="F">
      <formula>NOT(ISERROR(SEARCH("F",X73)))</formula>
    </cfRule>
    <cfRule type="containsText" dxfId="428" priority="180" stopIfTrue="1" operator="containsText" text="FN">
      <formula>NOT(ISERROR(SEARCH("FN",X73)))</formula>
    </cfRule>
  </conditionalFormatting>
  <conditionalFormatting sqref="X83">
    <cfRule type="containsText" dxfId="427" priority="203" stopIfTrue="1" operator="containsText" text="S.A">
      <formula>NOT(ISERROR(SEARCH("S.A",X83)))</formula>
    </cfRule>
    <cfRule type="containsText" dxfId="426" priority="204" stopIfTrue="1" operator="containsText" text="P">
      <formula>NOT(ISERROR(SEARCH("P",X83)))</formula>
    </cfRule>
    <cfRule type="containsText" dxfId="425" priority="205" stopIfTrue="1" operator="containsText" text="FN">
      <formula>NOT(ISERROR(SEARCH("FN",X83)))</formula>
    </cfRule>
    <cfRule type="containsText" dxfId="424" priority="206" stopIfTrue="1" operator="containsText" text="F">
      <formula>NOT(ISERROR(SEARCH("F",X83)))</formula>
    </cfRule>
    <cfRule type="containsText" dxfId="423" priority="202" stopIfTrue="1" operator="containsText" text="BH">
      <formula>NOT(ISERROR(SEARCH("BH",X83)))</formula>
    </cfRule>
  </conditionalFormatting>
  <conditionalFormatting sqref="X111:AR111 X115:AR115">
    <cfRule type="containsText" dxfId="422" priority="863" stopIfTrue="1" operator="containsText" text="BH">
      <formula>NOT(ISERROR(SEARCH("BH",X111)))</formula>
    </cfRule>
    <cfRule type="containsText" dxfId="421" priority="864" stopIfTrue="1" operator="containsText" text="S">
      <formula>NOT(ISERROR(SEARCH("S",X111)))</formula>
    </cfRule>
    <cfRule type="containsText" dxfId="420" priority="865" stopIfTrue="1" operator="containsText" text="FN">
      <formula>NOT(ISERROR(SEARCH("FN",X111)))</formula>
    </cfRule>
  </conditionalFormatting>
  <conditionalFormatting sqref="X111:AR111">
    <cfRule type="containsText" dxfId="419" priority="860" stopIfTrue="1" operator="containsText" text="P">
      <formula>NOT(ISERROR(SEARCH("P",X111)))</formula>
    </cfRule>
    <cfRule type="containsText" dxfId="418" priority="861" stopIfTrue="1" operator="containsText" text="FJ">
      <formula>NOT(ISERROR(SEARCH("FJ",X111)))</formula>
    </cfRule>
    <cfRule type="containsText" dxfId="417" priority="862" stopIfTrue="1" operator="containsText" text="A">
      <formula>NOT(ISERROR(SEARCH("A",X111)))</formula>
    </cfRule>
    <cfRule type="containsText" dxfId="416" priority="858" stopIfTrue="1" operator="containsText" text="T">
      <formula>NOT(ISERROR(SEARCH("T",X111)))</formula>
    </cfRule>
    <cfRule type="containsText" dxfId="415" priority="859" stopIfTrue="1" operator="containsText" text="E">
      <formula>NOT(ISERROR(SEARCH("E",X111)))</formula>
    </cfRule>
  </conditionalFormatting>
  <conditionalFormatting sqref="X112:AR115">
    <cfRule type="containsText" dxfId="414" priority="3" stopIfTrue="1" operator="containsText" text="P">
      <formula>NOT(ISERROR(SEARCH("P",X112)))</formula>
    </cfRule>
  </conditionalFormatting>
  <conditionalFormatting sqref="Y104">
    <cfRule type="containsText" dxfId="413" priority="212" stopIfTrue="1" operator="containsText" text="BH">
      <formula>NOT(ISERROR(SEARCH("BH",Y104)))</formula>
    </cfRule>
    <cfRule type="containsText" dxfId="412" priority="213" stopIfTrue="1" operator="containsText" text="S.A">
      <formula>NOT(ISERROR(SEARCH("S.A",Y104)))</formula>
    </cfRule>
    <cfRule type="containsText" dxfId="411" priority="214" stopIfTrue="1" operator="containsText" text="P">
      <formula>NOT(ISERROR(SEARCH("P",Y104)))</formula>
    </cfRule>
    <cfRule type="containsText" dxfId="410" priority="215" stopIfTrue="1" operator="containsText" text="FN">
      <formula>NOT(ISERROR(SEARCH("FN",Y104)))</formula>
    </cfRule>
    <cfRule type="containsText" dxfId="409" priority="216" stopIfTrue="1" operator="containsText" text="F">
      <formula>NOT(ISERROR(SEARCH("F",Y104)))</formula>
    </cfRule>
  </conditionalFormatting>
  <conditionalFormatting sqref="Y116:Y118">
    <cfRule type="containsText" dxfId="408" priority="219" stopIfTrue="1" operator="containsText" text="P">
      <formula>NOT(ISERROR(SEARCH("P",Y116)))</formula>
    </cfRule>
    <cfRule type="containsText" dxfId="407" priority="217" stopIfTrue="1" operator="containsText" text="BH">
      <formula>NOT(ISERROR(SEARCH("BH",Y116)))</formula>
    </cfRule>
    <cfRule type="containsText" dxfId="406" priority="218" stopIfTrue="1" operator="containsText" text="S.A">
      <formula>NOT(ISERROR(SEARCH("S.A",Y116)))</formula>
    </cfRule>
    <cfRule type="containsText" dxfId="405" priority="221" stopIfTrue="1" operator="containsText" text="F">
      <formula>NOT(ISERROR(SEARCH("F",Y116)))</formula>
    </cfRule>
    <cfRule type="containsText" dxfId="404" priority="220" stopIfTrue="1" operator="containsText" text="FN">
      <formula>NOT(ISERROR(SEARCH("FN",Y116)))</formula>
    </cfRule>
  </conditionalFormatting>
  <conditionalFormatting sqref="Z90">
    <cfRule type="containsText" dxfId="403" priority="192" stopIfTrue="1" operator="containsText" text="BH">
      <formula>NOT(ISERROR(SEARCH("BH",Z90)))</formula>
    </cfRule>
    <cfRule type="containsText" dxfId="402" priority="193" stopIfTrue="1" operator="containsText" text="S.A">
      <formula>NOT(ISERROR(SEARCH("S.A",Z90)))</formula>
    </cfRule>
    <cfRule type="containsText" dxfId="401" priority="194" stopIfTrue="1" operator="containsText" text="P">
      <formula>NOT(ISERROR(SEARCH("P",Z90)))</formula>
    </cfRule>
    <cfRule type="containsText" dxfId="400" priority="195" stopIfTrue="1" operator="containsText" text="FN">
      <formula>NOT(ISERROR(SEARCH("FN",Z90)))</formula>
    </cfRule>
    <cfRule type="containsText" dxfId="399" priority="196" stopIfTrue="1" operator="containsText" text="F">
      <formula>NOT(ISERROR(SEARCH("F",Z90)))</formula>
    </cfRule>
  </conditionalFormatting>
  <conditionalFormatting sqref="Z96">
    <cfRule type="containsText" dxfId="398" priority="187" stopIfTrue="1" operator="containsText" text="BH">
      <formula>NOT(ISERROR(SEARCH("BH",Z96)))</formula>
    </cfRule>
    <cfRule type="containsText" dxfId="397" priority="188" stopIfTrue="1" operator="containsText" text="S.A">
      <formula>NOT(ISERROR(SEARCH("S.A",Z96)))</formula>
    </cfRule>
    <cfRule type="containsText" dxfId="396" priority="189" stopIfTrue="1" operator="containsText" text="P">
      <formula>NOT(ISERROR(SEARCH("P",Z96)))</formula>
    </cfRule>
    <cfRule type="containsText" dxfId="395" priority="190" stopIfTrue="1" operator="containsText" text="FN">
      <formula>NOT(ISERROR(SEARCH("FN",Z96)))</formula>
    </cfRule>
    <cfRule type="containsText" dxfId="394" priority="191" stopIfTrue="1" operator="containsText" text="F">
      <formula>NOT(ISERROR(SEARCH("F",Z96)))</formula>
    </cfRule>
  </conditionalFormatting>
  <conditionalFormatting sqref="AC65">
    <cfRule type="containsText" dxfId="393" priority="135" stopIfTrue="1" operator="containsText" text="FN">
      <formula>NOT(ISERROR(SEARCH("FN",AC65)))</formula>
    </cfRule>
    <cfRule type="containsText" dxfId="392" priority="136" stopIfTrue="1" operator="containsText" text="F">
      <formula>NOT(ISERROR(SEARCH("F",AC65)))</formula>
    </cfRule>
    <cfRule type="containsText" dxfId="391" priority="133" stopIfTrue="1" operator="containsText" text="S.A">
      <formula>NOT(ISERROR(SEARCH("S.A",AC65)))</formula>
    </cfRule>
    <cfRule type="containsText" dxfId="390" priority="132" stopIfTrue="1" operator="containsText" text="BH">
      <formula>NOT(ISERROR(SEARCH("BH",AC65)))</formula>
    </cfRule>
    <cfRule type="containsText" dxfId="389" priority="134" stopIfTrue="1" operator="containsText" text="P">
      <formula>NOT(ISERROR(SEARCH("P",AC65)))</formula>
    </cfRule>
  </conditionalFormatting>
  <conditionalFormatting sqref="AC80:AF80">
    <cfRule type="containsText" dxfId="388" priority="149" stopIfTrue="1" operator="containsText" text="P">
      <formula>NOT(ISERROR(SEARCH("P",AC80)))</formula>
    </cfRule>
    <cfRule type="containsText" dxfId="387" priority="151" stopIfTrue="1" operator="containsText" text="F">
      <formula>NOT(ISERROR(SEARCH("F",AC80)))</formula>
    </cfRule>
    <cfRule type="containsText" dxfId="386" priority="150" stopIfTrue="1" operator="containsText" text="FN">
      <formula>NOT(ISERROR(SEARCH("FN",AC80)))</formula>
    </cfRule>
    <cfRule type="containsText" dxfId="385" priority="148" stopIfTrue="1" operator="containsText" text="S.A">
      <formula>NOT(ISERROR(SEARCH("S.A",AC80)))</formula>
    </cfRule>
    <cfRule type="containsText" dxfId="384" priority="147" stopIfTrue="1" operator="containsText" text="BH">
      <formula>NOT(ISERROR(SEARCH("BH",AC80)))</formula>
    </cfRule>
  </conditionalFormatting>
  <conditionalFormatting sqref="AC71:AG71">
    <cfRule type="containsText" dxfId="383" priority="68" stopIfTrue="1" operator="containsText" text="S.A">
      <formula>NOT(ISERROR(SEARCH("S.A",AC71)))</formula>
    </cfRule>
    <cfRule type="containsText" dxfId="382" priority="71" stopIfTrue="1" operator="containsText" text="F">
      <formula>NOT(ISERROR(SEARCH("F",AC71)))</formula>
    </cfRule>
    <cfRule type="containsText" dxfId="381" priority="67" stopIfTrue="1" operator="containsText" text="BH">
      <formula>NOT(ISERROR(SEARCH("BH",AC71)))</formula>
    </cfRule>
    <cfRule type="containsText" dxfId="380" priority="69" stopIfTrue="1" operator="containsText" text="P">
      <formula>NOT(ISERROR(SEARCH("P",AC71)))</formula>
    </cfRule>
    <cfRule type="containsText" dxfId="379" priority="70" stopIfTrue="1" operator="containsText" text="FN">
      <formula>NOT(ISERROR(SEARCH("FN",AC71)))</formula>
    </cfRule>
  </conditionalFormatting>
  <conditionalFormatting sqref="AE33">
    <cfRule type="containsText" dxfId="378" priority="29" stopIfTrue="1" operator="containsText" text="P">
      <formula>NOT(ISERROR(SEARCH("P",AE33)))</formula>
    </cfRule>
    <cfRule type="containsText" dxfId="377" priority="28" stopIfTrue="1" operator="containsText" text="S.A">
      <formula>NOT(ISERROR(SEARCH("S.A",AE33)))</formula>
    </cfRule>
    <cfRule type="containsText" dxfId="376" priority="27" stopIfTrue="1" operator="containsText" text="BH">
      <formula>NOT(ISERROR(SEARCH("BH",AE33)))</formula>
    </cfRule>
    <cfRule type="containsText" dxfId="375" priority="30" stopIfTrue="1" operator="containsText" text="FN">
      <formula>NOT(ISERROR(SEARCH("FN",AE33)))</formula>
    </cfRule>
    <cfRule type="containsText" dxfId="374" priority="31" stopIfTrue="1" operator="containsText" text="F">
      <formula>NOT(ISERROR(SEARCH("F",AE33)))</formula>
    </cfRule>
  </conditionalFormatting>
  <conditionalFormatting sqref="AE64">
    <cfRule type="containsText" dxfId="373" priority="139" stopIfTrue="1" operator="containsText" text="P">
      <formula>NOT(ISERROR(SEARCH("P",AE64)))</formula>
    </cfRule>
    <cfRule type="containsText" dxfId="372" priority="140" stopIfTrue="1" operator="containsText" text="FN">
      <formula>NOT(ISERROR(SEARCH("FN",AE64)))</formula>
    </cfRule>
    <cfRule type="containsText" dxfId="371" priority="138" stopIfTrue="1" operator="containsText" text="S.A">
      <formula>NOT(ISERROR(SEARCH("S.A",AE64)))</formula>
    </cfRule>
    <cfRule type="containsText" dxfId="370" priority="137" stopIfTrue="1" operator="containsText" text="BH">
      <formula>NOT(ISERROR(SEARCH("BH",AE64)))</formula>
    </cfRule>
    <cfRule type="containsText" dxfId="369" priority="141" stopIfTrue="1" operator="containsText" text="F">
      <formula>NOT(ISERROR(SEARCH("F",AE64)))</formula>
    </cfRule>
  </conditionalFormatting>
  <conditionalFormatting sqref="AE77:AE78">
    <cfRule type="containsText" dxfId="368" priority="169" stopIfTrue="1" operator="containsText" text="P">
      <formula>NOT(ISERROR(SEARCH("P",AE77)))</formula>
    </cfRule>
    <cfRule type="containsText" dxfId="367" priority="168" stopIfTrue="1" operator="containsText" text="S.A">
      <formula>NOT(ISERROR(SEARCH("S.A",AE77)))</formula>
    </cfRule>
    <cfRule type="containsText" dxfId="366" priority="167" stopIfTrue="1" operator="containsText" text="BH">
      <formula>NOT(ISERROR(SEARCH("BH",AE77)))</formula>
    </cfRule>
    <cfRule type="containsText" dxfId="365" priority="170" stopIfTrue="1" operator="containsText" text="FN">
      <formula>NOT(ISERROR(SEARCH("FN",AE77)))</formula>
    </cfRule>
    <cfRule type="containsText" dxfId="364" priority="171" stopIfTrue="1" operator="containsText" text="F">
      <formula>NOT(ISERROR(SEARCH("F",AE77)))</formula>
    </cfRule>
  </conditionalFormatting>
  <conditionalFormatting sqref="AF13">
    <cfRule type="containsText" dxfId="363" priority="52" stopIfTrue="1" operator="containsText" text="BH">
      <formula>NOT(ISERROR(SEARCH("BH",AF13)))</formula>
    </cfRule>
    <cfRule type="containsText" dxfId="362" priority="54" stopIfTrue="1" operator="containsText" text="P">
      <formula>NOT(ISERROR(SEARCH("P",AF13)))</formula>
    </cfRule>
    <cfRule type="containsText" dxfId="361" priority="55" stopIfTrue="1" operator="containsText" text="FN">
      <formula>NOT(ISERROR(SEARCH("FN",AF13)))</formula>
    </cfRule>
    <cfRule type="containsText" dxfId="360" priority="56" stopIfTrue="1" operator="containsText" text="F">
      <formula>NOT(ISERROR(SEARCH("F",AF13)))</formula>
    </cfRule>
    <cfRule type="containsText" dxfId="359" priority="53" stopIfTrue="1" operator="containsText" text="S.A">
      <formula>NOT(ISERROR(SEARCH("S.A",AF13)))</formula>
    </cfRule>
  </conditionalFormatting>
  <conditionalFormatting sqref="AF34:AG34">
    <cfRule type="containsText" dxfId="358" priority="21" stopIfTrue="1" operator="containsText" text="F">
      <formula>NOT(ISERROR(SEARCH("F",AF34)))</formula>
    </cfRule>
    <cfRule type="containsText" dxfId="357" priority="20" stopIfTrue="1" operator="containsText" text="FN">
      <formula>NOT(ISERROR(SEARCH("FN",AF34)))</formula>
    </cfRule>
    <cfRule type="containsText" dxfId="356" priority="17" stopIfTrue="1" operator="containsText" text="BH">
      <formula>NOT(ISERROR(SEARCH("BH",AF34)))</formula>
    </cfRule>
    <cfRule type="containsText" dxfId="355" priority="18" stopIfTrue="1" operator="containsText" text="S.A">
      <formula>NOT(ISERROR(SEARCH("S.A",AF34)))</formula>
    </cfRule>
    <cfRule type="containsText" dxfId="354" priority="19" stopIfTrue="1" operator="containsText" text="P">
      <formula>NOT(ISERROR(SEARCH("P",AF34)))</formula>
    </cfRule>
  </conditionalFormatting>
  <conditionalFormatting sqref="AG52">
    <cfRule type="containsText" dxfId="353" priority="128" stopIfTrue="1" operator="containsText" text="S.A">
      <formula>NOT(ISERROR(SEARCH("S.A",AG52)))</formula>
    </cfRule>
    <cfRule type="containsText" dxfId="352" priority="129" stopIfTrue="1" operator="containsText" text="P">
      <formula>NOT(ISERROR(SEARCH("P",AG52)))</formula>
    </cfRule>
    <cfRule type="containsText" dxfId="351" priority="127" stopIfTrue="1" operator="containsText" text="BH">
      <formula>NOT(ISERROR(SEARCH("BH",AG52)))</formula>
    </cfRule>
    <cfRule type="containsText" dxfId="350" priority="131" stopIfTrue="1" operator="containsText" text="F">
      <formula>NOT(ISERROR(SEARCH("F",AG52)))</formula>
    </cfRule>
    <cfRule type="containsText" dxfId="349" priority="130" stopIfTrue="1" operator="containsText" text="FN">
      <formula>NOT(ISERROR(SEARCH("FN",AG52)))</formula>
    </cfRule>
  </conditionalFormatting>
  <conditionalFormatting sqref="AG80:AG81">
    <cfRule type="containsText" dxfId="348" priority="142" stopIfTrue="1" operator="containsText" text="BH">
      <formula>NOT(ISERROR(SEARCH("BH",AG80)))</formula>
    </cfRule>
    <cfRule type="containsText" dxfId="347" priority="143" stopIfTrue="1" operator="containsText" text="S.A">
      <formula>NOT(ISERROR(SEARCH("S.A",AG80)))</formula>
    </cfRule>
    <cfRule type="containsText" dxfId="346" priority="145" stopIfTrue="1" operator="containsText" text="FN">
      <formula>NOT(ISERROR(SEARCH("FN",AG80)))</formula>
    </cfRule>
    <cfRule type="containsText" dxfId="345" priority="144" stopIfTrue="1" operator="containsText" text="P">
      <formula>NOT(ISERROR(SEARCH("P",AG80)))</formula>
    </cfRule>
    <cfRule type="containsText" dxfId="344" priority="146" stopIfTrue="1" operator="containsText" text="F">
      <formula>NOT(ISERROR(SEARCH("F",AG80)))</formula>
    </cfRule>
  </conditionalFormatting>
  <conditionalFormatting sqref="AI112:AR113 W114:AR114">
    <cfRule type="containsText" dxfId="343" priority="6" stopIfTrue="1" operator="containsText" text="BH">
      <formula>NOT(ISERROR(SEARCH("BH",W112)))</formula>
    </cfRule>
  </conditionalFormatting>
  <conditionalFormatting sqref="AI112:AR113 X114:AR114">
    <cfRule type="containsText" dxfId="342" priority="7" stopIfTrue="1" operator="containsText" text="S">
      <formula>NOT(ISERROR(SEARCH("S",X112)))</formula>
    </cfRule>
    <cfRule type="containsText" dxfId="341" priority="8" stopIfTrue="1" operator="containsText" text="FN">
      <formula>NOT(ISERROR(SEARCH("FN",X112)))</formula>
    </cfRule>
  </conditionalFormatting>
  <conditionalFormatting sqref="AI112:AR113 X114:AR115">
    <cfRule type="containsText" dxfId="340" priority="4" stopIfTrue="1" operator="containsText" text="FJ">
      <formula>NOT(ISERROR(SEARCH("FJ",X112)))</formula>
    </cfRule>
    <cfRule type="containsText" dxfId="339" priority="5" stopIfTrue="1" operator="containsText" text="A">
      <formula>NOT(ISERROR(SEARCH("A",X112)))</formula>
    </cfRule>
  </conditionalFormatting>
  <conditionalFormatting sqref="AJ81">
    <cfRule type="containsText" dxfId="338" priority="39" stopIfTrue="1" operator="containsText" text="P">
      <formula>NOT(ISERROR(SEARCH("P",AJ81)))</formula>
    </cfRule>
    <cfRule type="containsText" dxfId="337" priority="40" stopIfTrue="1" operator="containsText" text="FN">
      <formula>NOT(ISERROR(SEARCH("FN",AJ81)))</formula>
    </cfRule>
    <cfRule type="containsText" dxfId="336" priority="41" stopIfTrue="1" operator="containsText" text="F">
      <formula>NOT(ISERROR(SEARCH("F",AJ81)))</formula>
    </cfRule>
    <cfRule type="containsText" dxfId="335" priority="37" stopIfTrue="1" operator="containsText" text="BH">
      <formula>NOT(ISERROR(SEARCH("BH",AJ81)))</formula>
    </cfRule>
    <cfRule type="containsText" dxfId="334" priority="38" stopIfTrue="1" operator="containsText" text="S.A">
      <formula>NOT(ISERROR(SEARCH("S.A",AJ81)))</formula>
    </cfRule>
  </conditionalFormatting>
  <pageMargins left="0.511811024" right="0.511811024" top="0.78740157499999996" bottom="0.78740157499999996" header="0.31496062000000002" footer="0.31496062000000002"/>
  <pageSetup paperSize="11" scale="2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81EA-E0B6-4B1E-B965-9A1AF589D23D}">
  <sheetPr filterMode="1"/>
  <dimension ref="B2:AT149"/>
  <sheetViews>
    <sheetView showGridLines="0" zoomScale="99" zoomScaleNormal="99" workbookViewId="0">
      <pane ySplit="5" topLeftCell="A100" activePane="bottomLeft" state="frozen"/>
      <selection pane="bottomLeft" activeCell="Q102" sqref="Q102"/>
    </sheetView>
  </sheetViews>
  <sheetFormatPr defaultRowHeight="13.5"/>
  <cols>
    <col min="1" max="1" width="2.140625" style="1" customWidth="1"/>
    <col min="2" max="2" width="9.140625" style="25" customWidth="1"/>
    <col min="3" max="3" width="43" style="1" bestFit="1" customWidth="1"/>
    <col min="4" max="4" width="29.85546875" style="25" bestFit="1" customWidth="1"/>
    <col min="5" max="5" width="1.5703125" style="1" customWidth="1"/>
    <col min="6" max="6" width="4.85546875" style="1" customWidth="1"/>
    <col min="7" max="8" width="4.7109375" style="1" customWidth="1"/>
    <col min="9" max="9" width="4.28515625" style="1" customWidth="1"/>
    <col min="10" max="10" width="4.5703125" style="1" customWidth="1"/>
    <col min="11" max="11" width="4.42578125" style="1" customWidth="1"/>
    <col min="12" max="12" width="4.7109375" style="1" customWidth="1"/>
    <col min="13" max="13" width="4.5703125" style="1" customWidth="1"/>
    <col min="14" max="14" width="3.7109375" style="1" bestFit="1" customWidth="1"/>
    <col min="15" max="20" width="5.28515625" style="1" bestFit="1" customWidth="1"/>
    <col min="21" max="21" width="5.5703125" style="1" bestFit="1" customWidth="1"/>
    <col min="22" max="22" width="5.28515625" style="1" bestFit="1" customWidth="1"/>
    <col min="23" max="23" width="7.85546875" style="1" customWidth="1"/>
    <col min="24" max="39" width="6.28515625" style="1" bestFit="1" customWidth="1"/>
    <col min="40" max="41" width="7.5703125" style="1" customWidth="1"/>
    <col min="42" max="43" width="7.5703125" style="1" bestFit="1" customWidth="1"/>
    <col min="44" max="45" width="7.5703125" style="1" customWidth="1"/>
    <col min="46" max="16384" width="9.140625" style="1"/>
  </cols>
  <sheetData>
    <row r="2" spans="2:45" ht="15.75" customHeight="1">
      <c r="B2" s="65" t="s">
        <v>168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</row>
    <row r="3" spans="2:45" ht="33" customHeight="1"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2:45" ht="14.25" thickBot="1"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24</v>
      </c>
      <c r="AI4" s="1" t="s">
        <v>25</v>
      </c>
      <c r="AJ4" s="1" t="s">
        <v>26</v>
      </c>
      <c r="AK4" s="1" t="s">
        <v>27</v>
      </c>
      <c r="AL4" s="1" t="s">
        <v>28</v>
      </c>
      <c r="AM4" s="1" t="s">
        <v>29</v>
      </c>
      <c r="AN4" s="1" t="s">
        <v>30</v>
      </c>
      <c r="AO4" s="1" t="s">
        <v>24</v>
      </c>
      <c r="AP4" s="1" t="s">
        <v>25</v>
      </c>
      <c r="AQ4" s="1" t="s">
        <v>26</v>
      </c>
      <c r="AR4" s="1" t="s">
        <v>27</v>
      </c>
      <c r="AS4" s="1" t="s">
        <v>28</v>
      </c>
    </row>
    <row r="5" spans="2:45" ht="14.25" thickBot="1">
      <c r="B5" s="5" t="s">
        <v>31</v>
      </c>
      <c r="C5" s="5" t="s">
        <v>32</v>
      </c>
      <c r="D5" s="5" t="s">
        <v>33</v>
      </c>
      <c r="F5" s="11" t="s">
        <v>2</v>
      </c>
      <c r="G5" s="12" t="s">
        <v>3</v>
      </c>
      <c r="H5" s="41" t="s">
        <v>4</v>
      </c>
      <c r="I5" s="13" t="s">
        <v>5</v>
      </c>
      <c r="J5" s="14" t="s">
        <v>6</v>
      </c>
      <c r="K5" s="15" t="s">
        <v>7</v>
      </c>
      <c r="L5" s="55" t="s">
        <v>8</v>
      </c>
      <c r="M5" s="58" t="s">
        <v>9</v>
      </c>
      <c r="O5" s="3">
        <v>46204</v>
      </c>
      <c r="P5" s="3">
        <v>46205</v>
      </c>
      <c r="Q5" s="3">
        <v>46206</v>
      </c>
      <c r="R5" s="3">
        <v>46207</v>
      </c>
      <c r="S5" s="3">
        <v>46208</v>
      </c>
      <c r="T5" s="3">
        <v>46209</v>
      </c>
      <c r="U5" s="3">
        <v>46210</v>
      </c>
      <c r="V5" s="3">
        <v>46211</v>
      </c>
      <c r="W5" s="3">
        <v>46212</v>
      </c>
      <c r="X5" s="3">
        <v>46213</v>
      </c>
      <c r="Y5" s="3">
        <v>46214</v>
      </c>
      <c r="Z5" s="3">
        <v>46215</v>
      </c>
      <c r="AA5" s="3">
        <v>46216</v>
      </c>
      <c r="AB5" s="3">
        <v>46217</v>
      </c>
      <c r="AC5" s="3">
        <v>46218</v>
      </c>
      <c r="AD5" s="3">
        <v>46219</v>
      </c>
      <c r="AE5" s="3">
        <v>46220</v>
      </c>
      <c r="AF5" s="3">
        <v>46221</v>
      </c>
      <c r="AG5" s="3">
        <v>46222</v>
      </c>
      <c r="AH5" s="3">
        <v>46223</v>
      </c>
      <c r="AI5" s="3">
        <v>46224</v>
      </c>
      <c r="AJ5" s="3">
        <v>46225</v>
      </c>
      <c r="AK5" s="3">
        <v>46226</v>
      </c>
      <c r="AL5" s="3">
        <v>46227</v>
      </c>
      <c r="AM5" s="3">
        <v>46228</v>
      </c>
      <c r="AN5" s="3">
        <v>46229</v>
      </c>
      <c r="AO5" s="3">
        <v>46230</v>
      </c>
      <c r="AP5" s="3">
        <v>46231</v>
      </c>
      <c r="AQ5" s="3">
        <v>46232</v>
      </c>
      <c r="AR5" s="3">
        <v>46233</v>
      </c>
      <c r="AS5" s="3">
        <v>46234</v>
      </c>
    </row>
    <row r="6" spans="2:45" ht="14.25" hidden="1">
      <c r="B6" s="28" t="s">
        <v>34</v>
      </c>
      <c r="C6" s="22" t="s">
        <v>35</v>
      </c>
      <c r="D6" s="26" t="s">
        <v>36</v>
      </c>
      <c r="F6" s="10">
        <f t="shared" ref="F6:F37" si="0">COUNTIF(O6:AS6,$F$5)</f>
        <v>2</v>
      </c>
      <c r="G6" s="10">
        <f t="shared" ref="G6:G37" si="1">COUNTIF(O6:AS6,$G$5)</f>
        <v>0</v>
      </c>
      <c r="H6" s="10">
        <f t="shared" ref="H6:H37" si="2">COUNTIF(O6:AS6,$H$5)</f>
        <v>0</v>
      </c>
      <c r="I6" s="10">
        <f t="shared" ref="I6:I37" si="3">COUNTIF(O6:AS6,$I$5)</f>
        <v>0</v>
      </c>
      <c r="J6" s="10">
        <f t="shared" ref="J6:J37" si="4">COUNTIF(O6:AS6,$J$5)</f>
        <v>0</v>
      </c>
      <c r="K6" s="10">
        <f t="shared" ref="K6:K37" si="5">COUNTIF(O6:AS6,$K$5)</f>
        <v>0</v>
      </c>
      <c r="L6" s="10">
        <f t="shared" ref="L6:L37" si="6">COUNTIF(O6:AS6,$L$5)</f>
        <v>0</v>
      </c>
      <c r="M6" s="10">
        <f t="shared" ref="M6:M37" si="7">COUNTIF(O6:AS6,$M$5)</f>
        <v>0</v>
      </c>
      <c r="O6" s="54" t="s">
        <v>2</v>
      </c>
      <c r="P6" s="54" t="s">
        <v>2</v>
      </c>
      <c r="Q6" s="54"/>
      <c r="R6" s="54"/>
      <c r="S6" s="54"/>
      <c r="T6" s="54"/>
      <c r="U6" s="54"/>
      <c r="V6" s="54"/>
      <c r="W6" s="5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2:45" ht="14.25" hidden="1">
      <c r="B7" s="28" t="s">
        <v>34</v>
      </c>
      <c r="C7" s="22" t="s">
        <v>37</v>
      </c>
      <c r="D7" s="26" t="s">
        <v>38</v>
      </c>
      <c r="F7" s="10">
        <f t="shared" si="0"/>
        <v>2</v>
      </c>
      <c r="G7" s="10">
        <f t="shared" si="1"/>
        <v>0</v>
      </c>
      <c r="H7" s="10">
        <f t="shared" si="2"/>
        <v>0</v>
      </c>
      <c r="I7" s="10">
        <f t="shared" si="3"/>
        <v>0</v>
      </c>
      <c r="J7" s="10">
        <f t="shared" si="4"/>
        <v>0</v>
      </c>
      <c r="K7" s="10">
        <f t="shared" si="5"/>
        <v>0</v>
      </c>
      <c r="L7" s="10">
        <f t="shared" si="6"/>
        <v>0</v>
      </c>
      <c r="M7" s="10">
        <f t="shared" si="7"/>
        <v>0</v>
      </c>
      <c r="O7" s="54" t="s">
        <v>2</v>
      </c>
      <c r="P7" s="54" t="s">
        <v>2</v>
      </c>
      <c r="Q7" s="54"/>
      <c r="R7" s="54"/>
      <c r="S7" s="54"/>
      <c r="T7" s="54"/>
      <c r="U7" s="54"/>
      <c r="V7" s="54"/>
      <c r="W7" s="5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2:45" ht="14.25" hidden="1">
      <c r="B8" s="28" t="s">
        <v>34</v>
      </c>
      <c r="C8" s="22" t="s">
        <v>39</v>
      </c>
      <c r="D8" s="26" t="s">
        <v>40</v>
      </c>
      <c r="F8" s="10">
        <f t="shared" si="0"/>
        <v>2</v>
      </c>
      <c r="G8" s="10">
        <f t="shared" si="1"/>
        <v>0</v>
      </c>
      <c r="H8" s="10">
        <f t="shared" si="2"/>
        <v>0</v>
      </c>
      <c r="I8" s="10">
        <f t="shared" si="3"/>
        <v>0</v>
      </c>
      <c r="J8" s="10">
        <f t="shared" si="4"/>
        <v>0</v>
      </c>
      <c r="K8" s="10">
        <f t="shared" si="5"/>
        <v>0</v>
      </c>
      <c r="L8" s="10">
        <f t="shared" si="6"/>
        <v>0</v>
      </c>
      <c r="M8" s="10">
        <f t="shared" si="7"/>
        <v>0</v>
      </c>
      <c r="O8" s="54" t="s">
        <v>2</v>
      </c>
      <c r="P8" s="54" t="s">
        <v>2</v>
      </c>
      <c r="Q8" s="54"/>
      <c r="R8" s="54"/>
      <c r="S8" s="54"/>
      <c r="T8" s="54"/>
      <c r="U8" s="54"/>
      <c r="V8" s="54"/>
      <c r="W8" s="54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2:45" ht="14.25" hidden="1">
      <c r="B9" s="28" t="s">
        <v>34</v>
      </c>
      <c r="C9" s="22" t="s">
        <v>41</v>
      </c>
      <c r="D9" s="26" t="s">
        <v>36</v>
      </c>
      <c r="F9" s="10">
        <f t="shared" si="0"/>
        <v>2</v>
      </c>
      <c r="G9" s="10">
        <f t="shared" si="1"/>
        <v>0</v>
      </c>
      <c r="H9" s="10">
        <f t="shared" si="2"/>
        <v>0</v>
      </c>
      <c r="I9" s="10">
        <f t="shared" si="3"/>
        <v>0</v>
      </c>
      <c r="J9" s="10">
        <f t="shared" si="4"/>
        <v>0</v>
      </c>
      <c r="K9" s="10">
        <f t="shared" si="5"/>
        <v>0</v>
      </c>
      <c r="L9" s="10">
        <f t="shared" si="6"/>
        <v>0</v>
      </c>
      <c r="M9" s="10">
        <f t="shared" si="7"/>
        <v>0</v>
      </c>
      <c r="O9" s="54" t="s">
        <v>2</v>
      </c>
      <c r="P9" s="54" t="s">
        <v>2</v>
      </c>
      <c r="Q9" s="54"/>
      <c r="R9" s="54"/>
      <c r="S9" s="54"/>
      <c r="T9" s="54"/>
      <c r="U9" s="54"/>
      <c r="V9" s="54"/>
      <c r="W9" s="54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2:45" ht="14.25" hidden="1">
      <c r="B10" s="28" t="s">
        <v>34</v>
      </c>
      <c r="C10" s="22" t="s">
        <v>42</v>
      </c>
      <c r="D10" s="26" t="s">
        <v>40</v>
      </c>
      <c r="F10" s="10">
        <f t="shared" si="0"/>
        <v>2</v>
      </c>
      <c r="G10" s="10">
        <f t="shared" si="1"/>
        <v>0</v>
      </c>
      <c r="H10" s="10">
        <f t="shared" si="2"/>
        <v>0</v>
      </c>
      <c r="I10" s="10">
        <f t="shared" si="3"/>
        <v>0</v>
      </c>
      <c r="J10" s="10">
        <f t="shared" si="4"/>
        <v>0</v>
      </c>
      <c r="K10" s="10">
        <f t="shared" si="5"/>
        <v>0</v>
      </c>
      <c r="L10" s="10">
        <f t="shared" si="6"/>
        <v>0</v>
      </c>
      <c r="M10" s="10">
        <f t="shared" si="7"/>
        <v>0</v>
      </c>
      <c r="O10" s="54" t="s">
        <v>2</v>
      </c>
      <c r="P10" s="54" t="s">
        <v>2</v>
      </c>
      <c r="Q10" s="54"/>
      <c r="R10" s="54"/>
      <c r="S10" s="54"/>
      <c r="T10" s="54"/>
      <c r="U10" s="54"/>
      <c r="V10" s="54"/>
      <c r="W10" s="54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2:45" ht="14.25" hidden="1">
      <c r="B11" s="28" t="s">
        <v>34</v>
      </c>
      <c r="C11" s="22" t="s">
        <v>43</v>
      </c>
      <c r="D11" s="26" t="s">
        <v>44</v>
      </c>
      <c r="F11" s="10">
        <f t="shared" si="0"/>
        <v>2</v>
      </c>
      <c r="G11" s="10">
        <f t="shared" si="1"/>
        <v>0</v>
      </c>
      <c r="H11" s="10">
        <f t="shared" si="2"/>
        <v>0</v>
      </c>
      <c r="I11" s="10">
        <f t="shared" si="3"/>
        <v>0</v>
      </c>
      <c r="J11" s="10">
        <f t="shared" si="4"/>
        <v>0</v>
      </c>
      <c r="K11" s="10">
        <f t="shared" si="5"/>
        <v>0</v>
      </c>
      <c r="L11" s="10">
        <f t="shared" si="6"/>
        <v>0</v>
      </c>
      <c r="M11" s="10">
        <f t="shared" si="7"/>
        <v>0</v>
      </c>
      <c r="O11" s="54" t="s">
        <v>2</v>
      </c>
      <c r="P11" s="54" t="s">
        <v>2</v>
      </c>
      <c r="Q11" s="54"/>
      <c r="R11" s="54"/>
      <c r="S11" s="54"/>
      <c r="T11" s="54"/>
      <c r="U11" s="54"/>
      <c r="V11" s="54"/>
      <c r="W11" s="54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2:45" ht="14.25" hidden="1">
      <c r="B12" s="28" t="s">
        <v>34</v>
      </c>
      <c r="C12" s="22" t="s">
        <v>45</v>
      </c>
      <c r="D12" s="26" t="s">
        <v>40</v>
      </c>
      <c r="F12" s="10">
        <f t="shared" si="0"/>
        <v>2</v>
      </c>
      <c r="G12" s="10">
        <f t="shared" si="1"/>
        <v>0</v>
      </c>
      <c r="H12" s="10">
        <f t="shared" si="2"/>
        <v>0</v>
      </c>
      <c r="I12" s="10">
        <f t="shared" si="3"/>
        <v>0</v>
      </c>
      <c r="J12" s="10">
        <f t="shared" si="4"/>
        <v>0</v>
      </c>
      <c r="K12" s="10">
        <f t="shared" si="5"/>
        <v>0</v>
      </c>
      <c r="L12" s="10">
        <f t="shared" si="6"/>
        <v>0</v>
      </c>
      <c r="M12" s="10">
        <f t="shared" si="7"/>
        <v>0</v>
      </c>
      <c r="O12" s="54" t="s">
        <v>2</v>
      </c>
      <c r="P12" s="54" t="s">
        <v>2</v>
      </c>
      <c r="Q12" s="54"/>
      <c r="R12" s="54"/>
      <c r="S12" s="54"/>
      <c r="T12" s="54"/>
      <c r="U12" s="54"/>
      <c r="V12" s="54"/>
      <c r="W12" s="54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2:45" ht="14.25" hidden="1">
      <c r="B13" s="28" t="s">
        <v>34</v>
      </c>
      <c r="C13" s="22" t="s">
        <v>46</v>
      </c>
      <c r="D13" s="26" t="s">
        <v>47</v>
      </c>
      <c r="F13" s="10">
        <f t="shared" si="0"/>
        <v>2</v>
      </c>
      <c r="G13" s="10">
        <f t="shared" si="1"/>
        <v>0</v>
      </c>
      <c r="H13" s="10">
        <f t="shared" si="2"/>
        <v>0</v>
      </c>
      <c r="I13" s="10">
        <f t="shared" si="3"/>
        <v>0</v>
      </c>
      <c r="J13" s="10">
        <f t="shared" si="4"/>
        <v>0</v>
      </c>
      <c r="K13" s="10">
        <f t="shared" si="5"/>
        <v>0</v>
      </c>
      <c r="L13" s="10">
        <f t="shared" si="6"/>
        <v>0</v>
      </c>
      <c r="M13" s="10">
        <f t="shared" si="7"/>
        <v>0</v>
      </c>
      <c r="O13" s="54" t="s">
        <v>2</v>
      </c>
      <c r="P13" s="54" t="s">
        <v>2</v>
      </c>
      <c r="Q13" s="54"/>
      <c r="R13" s="54"/>
      <c r="S13" s="54"/>
      <c r="T13" s="54"/>
      <c r="U13" s="54"/>
      <c r="V13" s="54"/>
      <c r="W13" s="5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2:45" ht="14.25" hidden="1">
      <c r="B14" s="28" t="s">
        <v>34</v>
      </c>
      <c r="C14" s="22" t="s">
        <v>48</v>
      </c>
      <c r="D14" s="26" t="s">
        <v>49</v>
      </c>
      <c r="F14" s="10">
        <f t="shared" si="0"/>
        <v>2</v>
      </c>
      <c r="G14" s="10">
        <f t="shared" si="1"/>
        <v>0</v>
      </c>
      <c r="H14" s="10">
        <f t="shared" si="2"/>
        <v>0</v>
      </c>
      <c r="I14" s="10">
        <f t="shared" si="3"/>
        <v>0</v>
      </c>
      <c r="J14" s="10">
        <f t="shared" si="4"/>
        <v>0</v>
      </c>
      <c r="K14" s="10">
        <f t="shared" si="5"/>
        <v>0</v>
      </c>
      <c r="L14" s="10">
        <f t="shared" si="6"/>
        <v>0</v>
      </c>
      <c r="M14" s="10">
        <f t="shared" si="7"/>
        <v>0</v>
      </c>
      <c r="O14" s="54" t="s">
        <v>2</v>
      </c>
      <c r="P14" s="54" t="s">
        <v>2</v>
      </c>
      <c r="Q14" s="54"/>
      <c r="R14" s="54"/>
      <c r="S14" s="54"/>
      <c r="T14" s="54"/>
      <c r="U14" s="54"/>
      <c r="V14" s="54"/>
      <c r="W14" s="54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2:45" ht="14.25" hidden="1">
      <c r="B15" s="28" t="s">
        <v>34</v>
      </c>
      <c r="C15" s="22" t="s">
        <v>50</v>
      </c>
      <c r="D15" s="26" t="s">
        <v>51</v>
      </c>
      <c r="F15" s="10">
        <f t="shared" si="0"/>
        <v>2</v>
      </c>
      <c r="G15" s="10">
        <f t="shared" si="1"/>
        <v>0</v>
      </c>
      <c r="H15" s="10">
        <f t="shared" si="2"/>
        <v>0</v>
      </c>
      <c r="I15" s="10">
        <f t="shared" si="3"/>
        <v>0</v>
      </c>
      <c r="J15" s="10">
        <f t="shared" si="4"/>
        <v>0</v>
      </c>
      <c r="K15" s="10">
        <f t="shared" si="5"/>
        <v>0</v>
      </c>
      <c r="L15" s="10">
        <f t="shared" si="6"/>
        <v>0</v>
      </c>
      <c r="M15" s="10">
        <f t="shared" si="7"/>
        <v>0</v>
      </c>
      <c r="O15" s="54" t="s">
        <v>2</v>
      </c>
      <c r="P15" s="54" t="s">
        <v>2</v>
      </c>
      <c r="Q15" s="54"/>
      <c r="R15" s="54"/>
      <c r="S15" s="54"/>
      <c r="T15" s="54"/>
      <c r="U15" s="54"/>
      <c r="V15" s="54"/>
      <c r="W15" s="54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2:45" ht="14.25" hidden="1">
      <c r="B16" s="28" t="s">
        <v>34</v>
      </c>
      <c r="C16" s="22" t="s">
        <v>52</v>
      </c>
      <c r="D16" s="26" t="s">
        <v>40</v>
      </c>
      <c r="F16" s="10">
        <f t="shared" si="0"/>
        <v>2</v>
      </c>
      <c r="G16" s="10">
        <f t="shared" si="1"/>
        <v>0</v>
      </c>
      <c r="H16" s="10">
        <f t="shared" si="2"/>
        <v>0</v>
      </c>
      <c r="I16" s="10">
        <f t="shared" si="3"/>
        <v>0</v>
      </c>
      <c r="J16" s="10">
        <f t="shared" si="4"/>
        <v>0</v>
      </c>
      <c r="K16" s="10">
        <f t="shared" si="5"/>
        <v>0</v>
      </c>
      <c r="L16" s="10">
        <f t="shared" si="6"/>
        <v>0</v>
      </c>
      <c r="M16" s="10">
        <f t="shared" si="7"/>
        <v>0</v>
      </c>
      <c r="O16" s="54" t="s">
        <v>2</v>
      </c>
      <c r="P16" s="54" t="s">
        <v>2</v>
      </c>
      <c r="Q16" s="54"/>
      <c r="R16" s="54"/>
      <c r="S16" s="54"/>
      <c r="T16" s="54"/>
      <c r="U16" s="54"/>
      <c r="V16" s="54"/>
      <c r="W16" s="54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2:45" ht="14.25" hidden="1">
      <c r="B17" s="28" t="s">
        <v>34</v>
      </c>
      <c r="C17" s="22" t="s">
        <v>53</v>
      </c>
      <c r="D17" s="26" t="s">
        <v>40</v>
      </c>
      <c r="F17" s="10">
        <f t="shared" si="0"/>
        <v>2</v>
      </c>
      <c r="G17" s="10">
        <f t="shared" si="1"/>
        <v>0</v>
      </c>
      <c r="H17" s="10">
        <f t="shared" si="2"/>
        <v>0</v>
      </c>
      <c r="I17" s="10">
        <f t="shared" si="3"/>
        <v>0</v>
      </c>
      <c r="J17" s="10">
        <f t="shared" si="4"/>
        <v>0</v>
      </c>
      <c r="K17" s="10">
        <f t="shared" si="5"/>
        <v>0</v>
      </c>
      <c r="L17" s="10">
        <f t="shared" si="6"/>
        <v>0</v>
      </c>
      <c r="M17" s="10">
        <f t="shared" si="7"/>
        <v>0</v>
      </c>
      <c r="O17" s="54" t="s">
        <v>2</v>
      </c>
      <c r="P17" s="54" t="s">
        <v>2</v>
      </c>
      <c r="Q17" s="54"/>
      <c r="R17" s="54"/>
      <c r="S17" s="54"/>
      <c r="T17" s="54"/>
      <c r="U17" s="54"/>
      <c r="V17" s="54"/>
      <c r="W17" s="54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2:45" ht="14.25" hidden="1">
      <c r="B18" s="28" t="s">
        <v>34</v>
      </c>
      <c r="C18" s="22" t="s">
        <v>54</v>
      </c>
      <c r="D18" s="26" t="s">
        <v>40</v>
      </c>
      <c r="F18" s="10">
        <f t="shared" si="0"/>
        <v>2</v>
      </c>
      <c r="G18" s="10">
        <f t="shared" si="1"/>
        <v>0</v>
      </c>
      <c r="H18" s="10">
        <f t="shared" si="2"/>
        <v>0</v>
      </c>
      <c r="I18" s="10">
        <f t="shared" si="3"/>
        <v>0</v>
      </c>
      <c r="J18" s="10">
        <f t="shared" si="4"/>
        <v>0</v>
      </c>
      <c r="K18" s="10">
        <f t="shared" si="5"/>
        <v>0</v>
      </c>
      <c r="L18" s="10">
        <f t="shared" si="6"/>
        <v>0</v>
      </c>
      <c r="M18" s="10">
        <f t="shared" si="7"/>
        <v>0</v>
      </c>
      <c r="O18" s="54" t="s">
        <v>2</v>
      </c>
      <c r="P18" s="54" t="s">
        <v>2</v>
      </c>
      <c r="Q18" s="54"/>
      <c r="R18" s="54"/>
      <c r="S18" s="54"/>
      <c r="T18" s="54"/>
      <c r="U18" s="54"/>
      <c r="V18" s="54"/>
      <c r="W18" s="54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2:45" ht="14.25" hidden="1">
      <c r="B19" s="28" t="s">
        <v>34</v>
      </c>
      <c r="C19" s="22" t="s">
        <v>55</v>
      </c>
      <c r="D19" s="26" t="s">
        <v>56</v>
      </c>
      <c r="F19" s="10">
        <f t="shared" si="0"/>
        <v>1</v>
      </c>
      <c r="G19" s="10">
        <f t="shared" si="1"/>
        <v>0</v>
      </c>
      <c r="H19" s="10">
        <f t="shared" si="2"/>
        <v>0</v>
      </c>
      <c r="I19" s="10">
        <f t="shared" si="3"/>
        <v>0</v>
      </c>
      <c r="J19" s="10">
        <f t="shared" si="4"/>
        <v>0</v>
      </c>
      <c r="K19" s="10">
        <f t="shared" si="5"/>
        <v>0</v>
      </c>
      <c r="L19" s="10">
        <f t="shared" si="6"/>
        <v>0</v>
      </c>
      <c r="M19" s="10">
        <f t="shared" si="7"/>
        <v>1</v>
      </c>
      <c r="O19" s="59" t="s">
        <v>9</v>
      </c>
      <c r="P19" s="54" t="s">
        <v>2</v>
      </c>
      <c r="Q19" s="54"/>
      <c r="R19" s="54"/>
      <c r="S19" s="54"/>
      <c r="T19" s="54"/>
      <c r="U19" s="54"/>
      <c r="V19" s="54"/>
      <c r="W19" s="54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2:45" ht="14.25" hidden="1">
      <c r="B20" s="28" t="s">
        <v>34</v>
      </c>
      <c r="C20" s="22" t="s">
        <v>57</v>
      </c>
      <c r="D20" s="26" t="s">
        <v>40</v>
      </c>
      <c r="F20" s="10">
        <f t="shared" si="0"/>
        <v>2</v>
      </c>
      <c r="G20" s="10">
        <f t="shared" si="1"/>
        <v>0</v>
      </c>
      <c r="H20" s="10">
        <f t="shared" si="2"/>
        <v>0</v>
      </c>
      <c r="I20" s="10">
        <f t="shared" si="3"/>
        <v>0</v>
      </c>
      <c r="J20" s="10">
        <f t="shared" si="4"/>
        <v>0</v>
      </c>
      <c r="K20" s="10">
        <f t="shared" si="5"/>
        <v>0</v>
      </c>
      <c r="L20" s="10">
        <f t="shared" si="6"/>
        <v>0</v>
      </c>
      <c r="M20" s="10">
        <f t="shared" si="7"/>
        <v>0</v>
      </c>
      <c r="O20" s="54" t="s">
        <v>2</v>
      </c>
      <c r="P20" s="54" t="s">
        <v>2</v>
      </c>
      <c r="Q20" s="54"/>
      <c r="R20" s="54"/>
      <c r="S20" s="54"/>
      <c r="T20" s="54"/>
      <c r="U20" s="54"/>
      <c r="V20" s="54"/>
      <c r="W20" s="54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2:45" ht="14.25" hidden="1">
      <c r="B21" s="28" t="s">
        <v>34</v>
      </c>
      <c r="C21" s="22" t="s">
        <v>58</v>
      </c>
      <c r="D21" s="26" t="s">
        <v>36</v>
      </c>
      <c r="F21" s="10">
        <f t="shared" si="0"/>
        <v>2</v>
      </c>
      <c r="G21" s="10">
        <f t="shared" si="1"/>
        <v>0</v>
      </c>
      <c r="H21" s="10">
        <f t="shared" si="2"/>
        <v>0</v>
      </c>
      <c r="I21" s="10">
        <f t="shared" si="3"/>
        <v>0</v>
      </c>
      <c r="J21" s="10">
        <f t="shared" si="4"/>
        <v>0</v>
      </c>
      <c r="K21" s="10">
        <f t="shared" si="5"/>
        <v>0</v>
      </c>
      <c r="L21" s="10">
        <f t="shared" si="6"/>
        <v>0</v>
      </c>
      <c r="M21" s="10">
        <f t="shared" si="7"/>
        <v>0</v>
      </c>
      <c r="O21" s="54" t="s">
        <v>2</v>
      </c>
      <c r="P21" s="54" t="s">
        <v>2</v>
      </c>
      <c r="Q21" s="54"/>
      <c r="R21" s="54"/>
      <c r="S21" s="54"/>
      <c r="T21" s="54"/>
      <c r="U21" s="54"/>
      <c r="V21" s="54"/>
      <c r="W21" s="54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2:45" ht="14.25" hidden="1">
      <c r="B22" s="28" t="s">
        <v>34</v>
      </c>
      <c r="C22" s="22" t="s">
        <v>59</v>
      </c>
      <c r="D22" s="26" t="s">
        <v>49</v>
      </c>
      <c r="F22" s="10">
        <f t="shared" si="0"/>
        <v>2</v>
      </c>
      <c r="G22" s="10">
        <f t="shared" si="1"/>
        <v>0</v>
      </c>
      <c r="H22" s="10">
        <f t="shared" si="2"/>
        <v>0</v>
      </c>
      <c r="I22" s="10">
        <f t="shared" si="3"/>
        <v>0</v>
      </c>
      <c r="J22" s="10">
        <f t="shared" si="4"/>
        <v>0</v>
      </c>
      <c r="K22" s="10">
        <f t="shared" si="5"/>
        <v>0</v>
      </c>
      <c r="L22" s="10">
        <f t="shared" si="6"/>
        <v>0</v>
      </c>
      <c r="M22" s="10">
        <f t="shared" si="7"/>
        <v>0</v>
      </c>
      <c r="O22" s="54" t="s">
        <v>2</v>
      </c>
      <c r="P22" s="54" t="s">
        <v>2</v>
      </c>
      <c r="Q22" s="54"/>
      <c r="R22" s="54"/>
      <c r="S22" s="54"/>
      <c r="T22" s="54"/>
      <c r="U22" s="54"/>
      <c r="V22" s="54"/>
      <c r="W22" s="54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2:45" ht="14.25" hidden="1">
      <c r="B23" s="28" t="s">
        <v>34</v>
      </c>
      <c r="C23" s="22" t="s">
        <v>60</v>
      </c>
      <c r="D23" s="26" t="s">
        <v>40</v>
      </c>
      <c r="F23" s="10">
        <f t="shared" si="0"/>
        <v>2</v>
      </c>
      <c r="G23" s="10">
        <f t="shared" si="1"/>
        <v>0</v>
      </c>
      <c r="H23" s="10">
        <f t="shared" si="2"/>
        <v>0</v>
      </c>
      <c r="I23" s="10">
        <f t="shared" si="3"/>
        <v>0</v>
      </c>
      <c r="J23" s="10">
        <f t="shared" si="4"/>
        <v>0</v>
      </c>
      <c r="K23" s="10">
        <f t="shared" si="5"/>
        <v>0</v>
      </c>
      <c r="L23" s="10">
        <f t="shared" si="6"/>
        <v>0</v>
      </c>
      <c r="M23" s="10">
        <f t="shared" si="7"/>
        <v>0</v>
      </c>
      <c r="O23" s="54" t="s">
        <v>2</v>
      </c>
      <c r="P23" s="54" t="s">
        <v>2</v>
      </c>
      <c r="Q23" s="54"/>
      <c r="R23" s="54"/>
      <c r="S23" s="54"/>
      <c r="T23" s="54"/>
      <c r="U23" s="54"/>
      <c r="V23" s="54"/>
      <c r="W23" s="54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2:45" ht="14.25" hidden="1">
      <c r="B24" s="28" t="s">
        <v>34</v>
      </c>
      <c r="C24" s="22" t="s">
        <v>61</v>
      </c>
      <c r="D24" s="26" t="s">
        <v>40</v>
      </c>
      <c r="F24" s="10">
        <f t="shared" si="0"/>
        <v>2</v>
      </c>
      <c r="G24" s="10">
        <f t="shared" si="1"/>
        <v>0</v>
      </c>
      <c r="H24" s="10">
        <f t="shared" si="2"/>
        <v>0</v>
      </c>
      <c r="I24" s="10">
        <f t="shared" si="3"/>
        <v>0</v>
      </c>
      <c r="J24" s="10">
        <f t="shared" si="4"/>
        <v>0</v>
      </c>
      <c r="K24" s="10">
        <f t="shared" si="5"/>
        <v>0</v>
      </c>
      <c r="L24" s="10">
        <f t="shared" si="6"/>
        <v>0</v>
      </c>
      <c r="M24" s="10">
        <f t="shared" si="7"/>
        <v>0</v>
      </c>
      <c r="O24" s="54" t="s">
        <v>2</v>
      </c>
      <c r="P24" s="54" t="s">
        <v>2</v>
      </c>
      <c r="Q24" s="54"/>
      <c r="R24" s="54"/>
      <c r="S24" s="54"/>
      <c r="T24" s="54"/>
      <c r="U24" s="54"/>
      <c r="V24" s="54"/>
      <c r="W24" s="54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2:45" ht="14.25" hidden="1">
      <c r="B25" s="28" t="s">
        <v>34</v>
      </c>
      <c r="C25" s="22" t="s">
        <v>62</v>
      </c>
      <c r="D25" s="26" t="s">
        <v>63</v>
      </c>
      <c r="F25" s="10">
        <f t="shared" si="0"/>
        <v>2</v>
      </c>
      <c r="G25" s="10">
        <f t="shared" si="1"/>
        <v>0</v>
      </c>
      <c r="H25" s="10">
        <f t="shared" si="2"/>
        <v>0</v>
      </c>
      <c r="I25" s="10">
        <f t="shared" si="3"/>
        <v>0</v>
      </c>
      <c r="J25" s="10">
        <f t="shared" si="4"/>
        <v>0</v>
      </c>
      <c r="K25" s="10">
        <f t="shared" si="5"/>
        <v>0</v>
      </c>
      <c r="L25" s="10">
        <f t="shared" si="6"/>
        <v>0</v>
      </c>
      <c r="M25" s="10">
        <f t="shared" si="7"/>
        <v>0</v>
      </c>
      <c r="O25" s="54" t="s">
        <v>2</v>
      </c>
      <c r="P25" s="54" t="s">
        <v>2</v>
      </c>
      <c r="Q25" s="54"/>
      <c r="R25" s="54"/>
      <c r="S25" s="54"/>
      <c r="T25" s="54"/>
      <c r="U25" s="54"/>
      <c r="V25" s="54"/>
      <c r="W25" s="54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2:45" ht="14.25" hidden="1">
      <c r="B26" s="28" t="s">
        <v>34</v>
      </c>
      <c r="C26" s="22" t="s">
        <v>64</v>
      </c>
      <c r="D26" s="26" t="s">
        <v>49</v>
      </c>
      <c r="F26" s="10">
        <f t="shared" si="0"/>
        <v>0</v>
      </c>
      <c r="G26" s="10">
        <f t="shared" si="1"/>
        <v>0</v>
      </c>
      <c r="H26" s="10">
        <f t="shared" si="2"/>
        <v>0</v>
      </c>
      <c r="I26" s="10">
        <f t="shared" si="3"/>
        <v>2</v>
      </c>
      <c r="J26" s="10">
        <f t="shared" si="4"/>
        <v>0</v>
      </c>
      <c r="K26" s="10">
        <f t="shared" si="5"/>
        <v>0</v>
      </c>
      <c r="L26" s="10">
        <f t="shared" si="6"/>
        <v>0</v>
      </c>
      <c r="M26" s="10">
        <f t="shared" si="7"/>
        <v>0</v>
      </c>
      <c r="O26" s="54" t="s">
        <v>5</v>
      </c>
      <c r="P26" s="54" t="s">
        <v>5</v>
      </c>
      <c r="Q26" s="54"/>
      <c r="R26" s="54"/>
      <c r="S26" s="54"/>
      <c r="T26" s="54"/>
      <c r="U26" s="54"/>
      <c r="V26" s="54"/>
      <c r="W26" s="54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2:45" ht="14.25" hidden="1">
      <c r="B27" s="28" t="s">
        <v>65</v>
      </c>
      <c r="C27" s="22" t="s">
        <v>66</v>
      </c>
      <c r="D27" s="26" t="s">
        <v>36</v>
      </c>
      <c r="F27" s="10">
        <f t="shared" si="0"/>
        <v>2</v>
      </c>
      <c r="G27" s="10">
        <f t="shared" si="1"/>
        <v>0</v>
      </c>
      <c r="H27" s="10">
        <f t="shared" si="2"/>
        <v>0</v>
      </c>
      <c r="I27" s="10">
        <f t="shared" si="3"/>
        <v>0</v>
      </c>
      <c r="J27" s="10">
        <f t="shared" si="4"/>
        <v>0</v>
      </c>
      <c r="K27" s="10">
        <f t="shared" si="5"/>
        <v>0</v>
      </c>
      <c r="L27" s="10">
        <f t="shared" si="6"/>
        <v>0</v>
      </c>
      <c r="M27" s="10">
        <f t="shared" si="7"/>
        <v>0</v>
      </c>
      <c r="O27" s="54" t="s">
        <v>2</v>
      </c>
      <c r="P27" s="54" t="s">
        <v>2</v>
      </c>
      <c r="Q27" s="54"/>
      <c r="R27" s="54"/>
      <c r="S27" s="54"/>
      <c r="T27" s="54"/>
      <c r="U27" s="54"/>
      <c r="V27" s="54"/>
      <c r="W27" s="54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2:45" ht="14.25" hidden="1">
      <c r="B28" s="28" t="s">
        <v>65</v>
      </c>
      <c r="C28" s="22" t="s">
        <v>67</v>
      </c>
      <c r="D28" s="26" t="s">
        <v>49</v>
      </c>
      <c r="F28" s="10">
        <f t="shared" si="0"/>
        <v>2</v>
      </c>
      <c r="G28" s="10">
        <f t="shared" si="1"/>
        <v>0</v>
      </c>
      <c r="H28" s="10">
        <f t="shared" si="2"/>
        <v>0</v>
      </c>
      <c r="I28" s="10">
        <f t="shared" si="3"/>
        <v>0</v>
      </c>
      <c r="J28" s="10">
        <f t="shared" si="4"/>
        <v>0</v>
      </c>
      <c r="K28" s="10">
        <f t="shared" si="5"/>
        <v>0</v>
      </c>
      <c r="L28" s="10">
        <f t="shared" si="6"/>
        <v>0</v>
      </c>
      <c r="M28" s="10">
        <f t="shared" si="7"/>
        <v>0</v>
      </c>
      <c r="O28" s="54" t="s">
        <v>2</v>
      </c>
      <c r="P28" s="54" t="s">
        <v>2</v>
      </c>
      <c r="Q28" s="54"/>
      <c r="R28" s="54"/>
      <c r="S28" s="54"/>
      <c r="T28" s="54"/>
      <c r="U28" s="54"/>
      <c r="V28" s="54"/>
      <c r="W28" s="54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2:45" ht="14.25" hidden="1">
      <c r="B29" s="28" t="s">
        <v>65</v>
      </c>
      <c r="C29" s="22" t="s">
        <v>68</v>
      </c>
      <c r="D29" s="26" t="s">
        <v>44</v>
      </c>
      <c r="F29" s="10">
        <f t="shared" si="0"/>
        <v>2</v>
      </c>
      <c r="G29" s="10">
        <f t="shared" si="1"/>
        <v>0</v>
      </c>
      <c r="H29" s="10">
        <f t="shared" si="2"/>
        <v>0</v>
      </c>
      <c r="I29" s="10">
        <f t="shared" si="3"/>
        <v>0</v>
      </c>
      <c r="J29" s="10">
        <f t="shared" si="4"/>
        <v>0</v>
      </c>
      <c r="K29" s="10">
        <f t="shared" si="5"/>
        <v>0</v>
      </c>
      <c r="L29" s="10">
        <f t="shared" si="6"/>
        <v>0</v>
      </c>
      <c r="M29" s="10">
        <f t="shared" si="7"/>
        <v>0</v>
      </c>
      <c r="O29" s="54" t="s">
        <v>2</v>
      </c>
      <c r="P29" s="54" t="s">
        <v>2</v>
      </c>
      <c r="Q29" s="54"/>
      <c r="R29" s="54"/>
      <c r="S29" s="54"/>
      <c r="T29" s="54"/>
      <c r="U29" s="54"/>
      <c r="V29" s="54"/>
      <c r="W29" s="54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2:45" ht="14.25" hidden="1">
      <c r="B30" s="28" t="s">
        <v>65</v>
      </c>
      <c r="C30" s="22" t="s">
        <v>69</v>
      </c>
      <c r="D30" s="26" t="s">
        <v>49</v>
      </c>
      <c r="F30" s="10">
        <f t="shared" si="0"/>
        <v>2</v>
      </c>
      <c r="G30" s="10">
        <f t="shared" si="1"/>
        <v>0</v>
      </c>
      <c r="H30" s="10">
        <f t="shared" si="2"/>
        <v>0</v>
      </c>
      <c r="I30" s="10">
        <f t="shared" si="3"/>
        <v>0</v>
      </c>
      <c r="J30" s="10">
        <f t="shared" si="4"/>
        <v>0</v>
      </c>
      <c r="K30" s="10">
        <f t="shared" si="5"/>
        <v>0</v>
      </c>
      <c r="L30" s="10">
        <f t="shared" si="6"/>
        <v>0</v>
      </c>
      <c r="M30" s="10">
        <f t="shared" si="7"/>
        <v>0</v>
      </c>
      <c r="O30" s="54" t="s">
        <v>2</v>
      </c>
      <c r="P30" s="54" t="s">
        <v>2</v>
      </c>
      <c r="Q30" s="54"/>
      <c r="R30" s="54"/>
      <c r="S30" s="54"/>
      <c r="T30" s="54"/>
      <c r="U30" s="54"/>
      <c r="V30" s="54"/>
      <c r="W30" s="54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2:45" ht="14.25" hidden="1">
      <c r="B31" s="28" t="s">
        <v>65</v>
      </c>
      <c r="C31" s="22" t="s">
        <v>70</v>
      </c>
      <c r="D31" s="26" t="s">
        <v>40</v>
      </c>
      <c r="F31" s="10">
        <f t="shared" si="0"/>
        <v>2</v>
      </c>
      <c r="G31" s="10">
        <f t="shared" si="1"/>
        <v>0</v>
      </c>
      <c r="H31" s="10">
        <f t="shared" si="2"/>
        <v>0</v>
      </c>
      <c r="I31" s="10">
        <f t="shared" si="3"/>
        <v>0</v>
      </c>
      <c r="J31" s="10">
        <f t="shared" si="4"/>
        <v>0</v>
      </c>
      <c r="K31" s="10">
        <f t="shared" si="5"/>
        <v>0</v>
      </c>
      <c r="L31" s="10">
        <f t="shared" si="6"/>
        <v>0</v>
      </c>
      <c r="M31" s="10">
        <f t="shared" si="7"/>
        <v>0</v>
      </c>
      <c r="O31" s="54" t="s">
        <v>2</v>
      </c>
      <c r="P31" s="54" t="s">
        <v>2</v>
      </c>
      <c r="Q31" s="54"/>
      <c r="R31" s="54"/>
      <c r="S31" s="54"/>
      <c r="T31" s="54"/>
      <c r="U31" s="54"/>
      <c r="V31" s="54"/>
      <c r="W31" s="54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2:45" ht="14.25" hidden="1">
      <c r="B32" s="28" t="s">
        <v>34</v>
      </c>
      <c r="C32" s="22" t="s">
        <v>71</v>
      </c>
      <c r="D32" s="26" t="s">
        <v>72</v>
      </c>
      <c r="F32" s="10">
        <f t="shared" si="0"/>
        <v>2</v>
      </c>
      <c r="G32" s="10">
        <f t="shared" si="1"/>
        <v>0</v>
      </c>
      <c r="H32" s="10">
        <f t="shared" si="2"/>
        <v>0</v>
      </c>
      <c r="I32" s="10">
        <f t="shared" si="3"/>
        <v>0</v>
      </c>
      <c r="J32" s="10">
        <f t="shared" si="4"/>
        <v>0</v>
      </c>
      <c r="K32" s="10">
        <f t="shared" si="5"/>
        <v>0</v>
      </c>
      <c r="L32" s="10">
        <f t="shared" si="6"/>
        <v>0</v>
      </c>
      <c r="M32" s="10">
        <f t="shared" si="7"/>
        <v>0</v>
      </c>
      <c r="O32" s="54" t="s">
        <v>2</v>
      </c>
      <c r="P32" s="54" t="s">
        <v>2</v>
      </c>
      <c r="Q32" s="54"/>
      <c r="R32" s="54"/>
      <c r="S32" s="54"/>
      <c r="T32" s="54"/>
      <c r="U32" s="54"/>
      <c r="V32" s="54"/>
      <c r="W32" s="54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2:45" ht="14.25" hidden="1">
      <c r="B33" s="28" t="s">
        <v>65</v>
      </c>
      <c r="C33" s="22" t="s">
        <v>73</v>
      </c>
      <c r="D33" s="26" t="s">
        <v>49</v>
      </c>
      <c r="F33" s="10">
        <f t="shared" si="0"/>
        <v>2</v>
      </c>
      <c r="G33" s="10">
        <f t="shared" si="1"/>
        <v>0</v>
      </c>
      <c r="H33" s="10">
        <f t="shared" si="2"/>
        <v>0</v>
      </c>
      <c r="I33" s="10">
        <f t="shared" si="3"/>
        <v>0</v>
      </c>
      <c r="J33" s="10">
        <f t="shared" si="4"/>
        <v>0</v>
      </c>
      <c r="K33" s="10">
        <f t="shared" si="5"/>
        <v>0</v>
      </c>
      <c r="L33" s="10">
        <f t="shared" si="6"/>
        <v>0</v>
      </c>
      <c r="M33" s="10">
        <f t="shared" si="7"/>
        <v>0</v>
      </c>
      <c r="O33" s="54" t="s">
        <v>2</v>
      </c>
      <c r="P33" s="54" t="s">
        <v>2</v>
      </c>
      <c r="Q33" s="54"/>
      <c r="R33" s="54"/>
      <c r="S33" s="54"/>
      <c r="T33" s="54"/>
      <c r="U33" s="54"/>
      <c r="V33" s="54"/>
      <c r="W33" s="54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2:45" ht="14.25" hidden="1">
      <c r="B34" s="28" t="s">
        <v>65</v>
      </c>
      <c r="C34" s="22" t="s">
        <v>74</v>
      </c>
      <c r="D34" s="26" t="s">
        <v>40</v>
      </c>
      <c r="F34" s="10">
        <f t="shared" si="0"/>
        <v>2</v>
      </c>
      <c r="G34" s="10">
        <f t="shared" si="1"/>
        <v>0</v>
      </c>
      <c r="H34" s="10">
        <f t="shared" si="2"/>
        <v>0</v>
      </c>
      <c r="I34" s="10">
        <f t="shared" si="3"/>
        <v>0</v>
      </c>
      <c r="J34" s="10">
        <f t="shared" si="4"/>
        <v>0</v>
      </c>
      <c r="K34" s="10">
        <f t="shared" si="5"/>
        <v>0</v>
      </c>
      <c r="L34" s="10">
        <f t="shared" si="6"/>
        <v>0</v>
      </c>
      <c r="M34" s="10">
        <f t="shared" si="7"/>
        <v>0</v>
      </c>
      <c r="O34" s="54" t="s">
        <v>2</v>
      </c>
      <c r="P34" s="54" t="s">
        <v>2</v>
      </c>
      <c r="Q34" s="54"/>
      <c r="R34" s="54"/>
      <c r="S34" s="54"/>
      <c r="T34" s="54"/>
      <c r="U34" s="54"/>
      <c r="V34" s="54"/>
      <c r="W34" s="54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2:45" ht="14.25" hidden="1">
      <c r="B35" s="28" t="s">
        <v>65</v>
      </c>
      <c r="C35" s="22" t="s">
        <v>75</v>
      </c>
      <c r="D35" s="26" t="s">
        <v>36</v>
      </c>
      <c r="F35" s="24">
        <f t="shared" si="0"/>
        <v>2</v>
      </c>
      <c r="G35" s="24">
        <f t="shared" si="1"/>
        <v>0</v>
      </c>
      <c r="H35" s="24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4">
        <f t="shared" si="6"/>
        <v>0</v>
      </c>
      <c r="M35" s="24">
        <f t="shared" si="7"/>
        <v>0</v>
      </c>
      <c r="O35" s="54" t="s">
        <v>2</v>
      </c>
      <c r="P35" s="54" t="s">
        <v>2</v>
      </c>
      <c r="Q35" s="54"/>
      <c r="R35" s="54"/>
      <c r="S35" s="54"/>
      <c r="T35" s="54"/>
      <c r="U35" s="54"/>
      <c r="V35" s="54"/>
      <c r="W35" s="54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2:45" ht="14.25" hidden="1">
      <c r="B36" s="28" t="s">
        <v>65</v>
      </c>
      <c r="C36" s="22" t="s">
        <v>76</v>
      </c>
      <c r="D36" s="26" t="s">
        <v>36</v>
      </c>
      <c r="F36" s="10">
        <f t="shared" si="0"/>
        <v>2</v>
      </c>
      <c r="G36" s="10">
        <f t="shared" si="1"/>
        <v>0</v>
      </c>
      <c r="H36" s="10">
        <f t="shared" si="2"/>
        <v>0</v>
      </c>
      <c r="I36" s="10">
        <f t="shared" si="3"/>
        <v>0</v>
      </c>
      <c r="J36" s="10">
        <f t="shared" si="4"/>
        <v>0</v>
      </c>
      <c r="K36" s="10">
        <f t="shared" si="5"/>
        <v>0</v>
      </c>
      <c r="L36" s="10">
        <f t="shared" si="6"/>
        <v>0</v>
      </c>
      <c r="M36" s="10">
        <f t="shared" si="7"/>
        <v>0</v>
      </c>
      <c r="O36" s="54" t="s">
        <v>2</v>
      </c>
      <c r="P36" s="54" t="s">
        <v>2</v>
      </c>
      <c r="Q36" s="54"/>
      <c r="R36" s="54"/>
      <c r="S36" s="54"/>
      <c r="T36" s="54"/>
      <c r="U36" s="54"/>
      <c r="V36" s="54"/>
      <c r="W36" s="54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2:45" ht="14.25" hidden="1">
      <c r="B37" s="28" t="s">
        <v>65</v>
      </c>
      <c r="C37" s="22" t="s">
        <v>77</v>
      </c>
      <c r="D37" s="26" t="s">
        <v>63</v>
      </c>
      <c r="F37" s="10">
        <f t="shared" si="0"/>
        <v>2</v>
      </c>
      <c r="G37" s="10">
        <f t="shared" si="1"/>
        <v>0</v>
      </c>
      <c r="H37" s="10">
        <f t="shared" si="2"/>
        <v>0</v>
      </c>
      <c r="I37" s="10">
        <f t="shared" si="3"/>
        <v>0</v>
      </c>
      <c r="J37" s="10">
        <f t="shared" si="4"/>
        <v>0</v>
      </c>
      <c r="K37" s="10">
        <f t="shared" si="5"/>
        <v>0</v>
      </c>
      <c r="L37" s="10">
        <f t="shared" si="6"/>
        <v>0</v>
      </c>
      <c r="M37" s="10">
        <f t="shared" si="7"/>
        <v>0</v>
      </c>
      <c r="O37" s="54" t="s">
        <v>2</v>
      </c>
      <c r="P37" s="54" t="s">
        <v>2</v>
      </c>
      <c r="Q37" s="54"/>
      <c r="R37" s="54"/>
      <c r="S37" s="54"/>
      <c r="T37" s="54"/>
      <c r="U37" s="54"/>
      <c r="V37" s="54"/>
      <c r="W37" s="54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2:45" ht="14.25" hidden="1">
      <c r="B38" s="28" t="s">
        <v>65</v>
      </c>
      <c r="C38" s="22" t="s">
        <v>78</v>
      </c>
      <c r="D38" s="26" t="s">
        <v>36</v>
      </c>
      <c r="F38" s="10">
        <f t="shared" ref="F38:F68" si="8">COUNTIF(O38:AS38,$F$5)</f>
        <v>2</v>
      </c>
      <c r="G38" s="10">
        <f t="shared" ref="G38:G68" si="9">COUNTIF(O38:AS38,$G$5)</f>
        <v>0</v>
      </c>
      <c r="H38" s="10">
        <f t="shared" ref="H38:H68" si="10">COUNTIF(O38:AS38,$H$5)</f>
        <v>0</v>
      </c>
      <c r="I38" s="10">
        <f t="shared" ref="I38:I68" si="11">COUNTIF(O38:AS38,$I$5)</f>
        <v>0</v>
      </c>
      <c r="J38" s="10">
        <f t="shared" ref="J38:J68" si="12">COUNTIF(O38:AS38,$J$5)</f>
        <v>0</v>
      </c>
      <c r="K38" s="10">
        <f t="shared" ref="K38:K68" si="13">COUNTIF(O38:AS38,$K$5)</f>
        <v>0</v>
      </c>
      <c r="L38" s="10">
        <f t="shared" ref="L38:L68" si="14">COUNTIF(O38:AS38,$L$5)</f>
        <v>0</v>
      </c>
      <c r="M38" s="10">
        <f t="shared" ref="M38:M68" si="15">COUNTIF(O38:AS38,$M$5)</f>
        <v>0</v>
      </c>
      <c r="O38" s="54" t="s">
        <v>2</v>
      </c>
      <c r="P38" s="54" t="s">
        <v>2</v>
      </c>
      <c r="Q38" s="54"/>
      <c r="R38" s="54"/>
      <c r="S38" s="54"/>
      <c r="T38" s="54"/>
      <c r="U38" s="54"/>
      <c r="V38" s="54"/>
      <c r="W38" s="54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2:45" ht="14.25" hidden="1">
      <c r="B39" s="28" t="s">
        <v>65</v>
      </c>
      <c r="C39" s="22" t="s">
        <v>79</v>
      </c>
      <c r="D39" s="26" t="s">
        <v>49</v>
      </c>
      <c r="F39" s="10">
        <f t="shared" si="8"/>
        <v>2</v>
      </c>
      <c r="G39" s="10">
        <f t="shared" si="9"/>
        <v>0</v>
      </c>
      <c r="H39" s="10">
        <f t="shared" si="10"/>
        <v>0</v>
      </c>
      <c r="I39" s="10">
        <f t="shared" si="11"/>
        <v>0</v>
      </c>
      <c r="J39" s="10">
        <f t="shared" si="12"/>
        <v>0</v>
      </c>
      <c r="K39" s="10">
        <f t="shared" si="13"/>
        <v>0</v>
      </c>
      <c r="L39" s="10">
        <f t="shared" si="14"/>
        <v>0</v>
      </c>
      <c r="M39" s="10">
        <f t="shared" si="15"/>
        <v>0</v>
      </c>
      <c r="O39" s="54" t="s">
        <v>2</v>
      </c>
      <c r="P39" s="54" t="s">
        <v>2</v>
      </c>
      <c r="Q39" s="54"/>
      <c r="R39" s="54"/>
      <c r="S39" s="54"/>
      <c r="T39" s="54"/>
      <c r="U39" s="54"/>
      <c r="V39" s="54"/>
      <c r="W39" s="54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2:45" ht="14.25" hidden="1">
      <c r="B40" s="28" t="s">
        <v>65</v>
      </c>
      <c r="C40" s="22" t="s">
        <v>80</v>
      </c>
      <c r="D40" s="26" t="s">
        <v>49</v>
      </c>
      <c r="F40" s="10">
        <f t="shared" si="8"/>
        <v>2</v>
      </c>
      <c r="G40" s="10">
        <f t="shared" si="9"/>
        <v>0</v>
      </c>
      <c r="H40" s="10">
        <f t="shared" si="10"/>
        <v>0</v>
      </c>
      <c r="I40" s="10">
        <f t="shared" si="11"/>
        <v>0</v>
      </c>
      <c r="J40" s="10">
        <f t="shared" si="12"/>
        <v>0</v>
      </c>
      <c r="K40" s="10">
        <f t="shared" si="13"/>
        <v>0</v>
      </c>
      <c r="L40" s="10">
        <f t="shared" si="14"/>
        <v>0</v>
      </c>
      <c r="M40" s="10">
        <f t="shared" si="15"/>
        <v>0</v>
      </c>
      <c r="O40" s="54" t="s">
        <v>2</v>
      </c>
      <c r="P40" s="54" t="s">
        <v>2</v>
      </c>
      <c r="Q40" s="54"/>
      <c r="R40" s="54"/>
      <c r="S40" s="54"/>
      <c r="T40" s="54"/>
      <c r="U40" s="54"/>
      <c r="V40" s="54"/>
      <c r="W40" s="54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2:45" ht="14.25" hidden="1">
      <c r="B41" s="28" t="s">
        <v>65</v>
      </c>
      <c r="C41" s="22" t="s">
        <v>81</v>
      </c>
      <c r="D41" s="26" t="s">
        <v>36</v>
      </c>
      <c r="F41" s="10">
        <f t="shared" si="8"/>
        <v>2</v>
      </c>
      <c r="G41" s="10">
        <f t="shared" si="9"/>
        <v>0</v>
      </c>
      <c r="H41" s="10">
        <f t="shared" si="10"/>
        <v>0</v>
      </c>
      <c r="I41" s="10">
        <f t="shared" si="11"/>
        <v>0</v>
      </c>
      <c r="J41" s="10">
        <f t="shared" si="12"/>
        <v>0</v>
      </c>
      <c r="K41" s="10">
        <f t="shared" si="13"/>
        <v>0</v>
      </c>
      <c r="L41" s="10">
        <f t="shared" si="14"/>
        <v>0</v>
      </c>
      <c r="M41" s="10">
        <f t="shared" si="15"/>
        <v>0</v>
      </c>
      <c r="O41" s="54" t="s">
        <v>2</v>
      </c>
      <c r="P41" s="54" t="s">
        <v>2</v>
      </c>
      <c r="Q41" s="54"/>
      <c r="R41" s="54"/>
      <c r="S41" s="54"/>
      <c r="T41" s="54"/>
      <c r="U41" s="54"/>
      <c r="V41" s="54"/>
      <c r="W41" s="54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2:45" ht="14.25" hidden="1">
      <c r="B42" s="28" t="s">
        <v>65</v>
      </c>
      <c r="C42" s="22" t="s">
        <v>82</v>
      </c>
      <c r="D42" s="26" t="s">
        <v>72</v>
      </c>
      <c r="F42" s="10">
        <f t="shared" si="8"/>
        <v>1</v>
      </c>
      <c r="G42" s="10">
        <f t="shared" si="9"/>
        <v>0</v>
      </c>
      <c r="H42" s="10">
        <f t="shared" si="10"/>
        <v>0</v>
      </c>
      <c r="I42" s="10">
        <f t="shared" si="11"/>
        <v>0</v>
      </c>
      <c r="J42" s="10">
        <f t="shared" si="12"/>
        <v>0</v>
      </c>
      <c r="K42" s="10">
        <f t="shared" si="13"/>
        <v>0</v>
      </c>
      <c r="L42" s="10">
        <f t="shared" si="14"/>
        <v>1</v>
      </c>
      <c r="M42" s="10">
        <f t="shared" si="15"/>
        <v>0</v>
      </c>
      <c r="O42" s="54" t="s">
        <v>2</v>
      </c>
      <c r="P42" s="54" t="s">
        <v>8</v>
      </c>
      <c r="Q42" s="54"/>
      <c r="R42" s="54"/>
      <c r="S42" s="54"/>
      <c r="T42" s="54"/>
      <c r="U42" s="54"/>
      <c r="V42" s="54"/>
      <c r="W42" s="54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2:45" ht="14.25" hidden="1">
      <c r="B43" s="28" t="s">
        <v>65</v>
      </c>
      <c r="C43" s="22" t="s">
        <v>83</v>
      </c>
      <c r="D43" s="26" t="s">
        <v>84</v>
      </c>
      <c r="F43" s="10">
        <f t="shared" si="8"/>
        <v>2</v>
      </c>
      <c r="G43" s="10">
        <f t="shared" si="9"/>
        <v>0</v>
      </c>
      <c r="H43" s="10">
        <f t="shared" si="10"/>
        <v>0</v>
      </c>
      <c r="I43" s="10">
        <f t="shared" si="11"/>
        <v>0</v>
      </c>
      <c r="J43" s="10">
        <f t="shared" si="12"/>
        <v>0</v>
      </c>
      <c r="K43" s="10">
        <f t="shared" si="13"/>
        <v>0</v>
      </c>
      <c r="L43" s="10">
        <f t="shared" si="14"/>
        <v>0</v>
      </c>
      <c r="M43" s="10">
        <f t="shared" si="15"/>
        <v>0</v>
      </c>
      <c r="O43" s="54" t="s">
        <v>2</v>
      </c>
      <c r="P43" s="54" t="s">
        <v>2</v>
      </c>
      <c r="Q43" s="54"/>
      <c r="R43" s="54"/>
      <c r="S43" s="54"/>
      <c r="T43" s="54"/>
      <c r="U43" s="54"/>
      <c r="V43" s="54"/>
      <c r="W43" s="54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2:45" ht="14.25" hidden="1">
      <c r="B44" s="28" t="s">
        <v>65</v>
      </c>
      <c r="C44" s="22" t="s">
        <v>85</v>
      </c>
      <c r="D44" s="26" t="s">
        <v>40</v>
      </c>
      <c r="F44" s="10">
        <f t="shared" si="8"/>
        <v>2</v>
      </c>
      <c r="G44" s="10">
        <f t="shared" si="9"/>
        <v>0</v>
      </c>
      <c r="H44" s="10">
        <f t="shared" si="10"/>
        <v>0</v>
      </c>
      <c r="I44" s="10">
        <f t="shared" si="11"/>
        <v>0</v>
      </c>
      <c r="J44" s="10">
        <f t="shared" si="12"/>
        <v>0</v>
      </c>
      <c r="K44" s="10">
        <f t="shared" si="13"/>
        <v>0</v>
      </c>
      <c r="L44" s="10">
        <f t="shared" si="14"/>
        <v>0</v>
      </c>
      <c r="M44" s="10">
        <f t="shared" si="15"/>
        <v>0</v>
      </c>
      <c r="O44" s="54" t="s">
        <v>2</v>
      </c>
      <c r="P44" s="54" t="s">
        <v>2</v>
      </c>
      <c r="Q44" s="54"/>
      <c r="R44" s="54"/>
      <c r="S44" s="54"/>
      <c r="T44" s="54"/>
      <c r="U44" s="54"/>
      <c r="V44" s="54"/>
      <c r="W44" s="54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2:45" ht="14.25" hidden="1">
      <c r="B45" s="28" t="s">
        <v>65</v>
      </c>
      <c r="C45" s="22" t="s">
        <v>86</v>
      </c>
      <c r="D45" s="26" t="s">
        <v>56</v>
      </c>
      <c r="F45" s="10">
        <f t="shared" si="8"/>
        <v>2</v>
      </c>
      <c r="G45" s="10">
        <f t="shared" si="9"/>
        <v>0</v>
      </c>
      <c r="H45" s="10">
        <f t="shared" si="10"/>
        <v>0</v>
      </c>
      <c r="I45" s="10">
        <f t="shared" si="11"/>
        <v>0</v>
      </c>
      <c r="J45" s="10">
        <f t="shared" si="12"/>
        <v>0</v>
      </c>
      <c r="K45" s="10">
        <f t="shared" si="13"/>
        <v>0</v>
      </c>
      <c r="L45" s="10">
        <f t="shared" si="14"/>
        <v>0</v>
      </c>
      <c r="M45" s="10">
        <f t="shared" si="15"/>
        <v>0</v>
      </c>
      <c r="O45" s="54" t="s">
        <v>2</v>
      </c>
      <c r="P45" s="54" t="s">
        <v>2</v>
      </c>
      <c r="Q45" s="54"/>
      <c r="R45" s="54"/>
      <c r="S45" s="54"/>
      <c r="T45" s="54"/>
      <c r="U45" s="54"/>
      <c r="V45" s="54"/>
      <c r="W45" s="54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2:45" ht="14.25" hidden="1">
      <c r="B46" s="28" t="s">
        <v>65</v>
      </c>
      <c r="C46" s="22" t="s">
        <v>87</v>
      </c>
      <c r="D46" s="26" t="s">
        <v>49</v>
      </c>
      <c r="F46" s="10">
        <f t="shared" si="8"/>
        <v>2</v>
      </c>
      <c r="G46" s="10">
        <f t="shared" si="9"/>
        <v>0</v>
      </c>
      <c r="H46" s="10">
        <f t="shared" si="10"/>
        <v>0</v>
      </c>
      <c r="I46" s="10">
        <f t="shared" si="11"/>
        <v>0</v>
      </c>
      <c r="J46" s="10">
        <f t="shared" si="12"/>
        <v>0</v>
      </c>
      <c r="K46" s="10">
        <f t="shared" si="13"/>
        <v>0</v>
      </c>
      <c r="L46" s="10">
        <f t="shared" si="14"/>
        <v>0</v>
      </c>
      <c r="M46" s="10">
        <f t="shared" si="15"/>
        <v>0</v>
      </c>
      <c r="O46" s="54" t="s">
        <v>2</v>
      </c>
      <c r="P46" s="54" t="s">
        <v>2</v>
      </c>
      <c r="Q46" s="54"/>
      <c r="R46" s="54"/>
      <c r="S46" s="54"/>
      <c r="T46" s="54"/>
      <c r="U46" s="54"/>
      <c r="V46" s="54"/>
      <c r="W46" s="54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2:45" ht="14.25" hidden="1">
      <c r="B47" s="28" t="s">
        <v>65</v>
      </c>
      <c r="C47" s="61" t="s">
        <v>169</v>
      </c>
      <c r="D47" s="62" t="s">
        <v>44</v>
      </c>
      <c r="F47" s="10">
        <f t="shared" si="8"/>
        <v>0</v>
      </c>
      <c r="G47" s="10">
        <f t="shared" si="9"/>
        <v>0</v>
      </c>
      <c r="H47" s="10">
        <f t="shared" si="10"/>
        <v>0</v>
      </c>
      <c r="I47" s="10">
        <f t="shared" si="11"/>
        <v>0</v>
      </c>
      <c r="J47" s="10">
        <f t="shared" si="12"/>
        <v>0</v>
      </c>
      <c r="K47" s="10">
        <f t="shared" si="13"/>
        <v>0</v>
      </c>
      <c r="L47" s="10">
        <f t="shared" si="14"/>
        <v>0</v>
      </c>
      <c r="M47" s="10">
        <f t="shared" si="15"/>
        <v>0</v>
      </c>
      <c r="O47" s="52"/>
      <c r="P47" s="63"/>
      <c r="Q47" s="54"/>
      <c r="R47" s="54"/>
      <c r="S47" s="54"/>
      <c r="T47" s="54"/>
      <c r="U47" s="54"/>
      <c r="V47" s="54"/>
      <c r="W47" s="54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2:45" ht="14.25" hidden="1">
      <c r="B48" s="28" t="s">
        <v>65</v>
      </c>
      <c r="C48" s="22" t="s">
        <v>89</v>
      </c>
      <c r="D48" s="26" t="s">
        <v>44</v>
      </c>
      <c r="F48" s="10">
        <f t="shared" si="8"/>
        <v>2</v>
      </c>
      <c r="G48" s="10">
        <f t="shared" si="9"/>
        <v>0</v>
      </c>
      <c r="H48" s="10">
        <f t="shared" si="10"/>
        <v>0</v>
      </c>
      <c r="I48" s="10">
        <f t="shared" si="11"/>
        <v>0</v>
      </c>
      <c r="J48" s="10">
        <f t="shared" si="12"/>
        <v>0</v>
      </c>
      <c r="K48" s="10">
        <f t="shared" si="13"/>
        <v>0</v>
      </c>
      <c r="L48" s="10">
        <f t="shared" si="14"/>
        <v>0</v>
      </c>
      <c r="M48" s="10">
        <f t="shared" si="15"/>
        <v>0</v>
      </c>
      <c r="O48" s="54" t="s">
        <v>2</v>
      </c>
      <c r="P48" s="54" t="s">
        <v>2</v>
      </c>
      <c r="Q48" s="54"/>
      <c r="R48" s="54"/>
      <c r="S48" s="54"/>
      <c r="T48" s="54"/>
      <c r="U48" s="54"/>
      <c r="V48" s="54"/>
      <c r="W48" s="54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2:45" ht="14.25" hidden="1">
      <c r="B49" s="28" t="s">
        <v>65</v>
      </c>
      <c r="C49" s="22" t="s">
        <v>90</v>
      </c>
      <c r="D49" s="26" t="s">
        <v>44</v>
      </c>
      <c r="F49" s="10">
        <f t="shared" si="8"/>
        <v>2</v>
      </c>
      <c r="G49" s="10">
        <f t="shared" si="9"/>
        <v>0</v>
      </c>
      <c r="H49" s="10">
        <f t="shared" si="10"/>
        <v>0</v>
      </c>
      <c r="I49" s="10">
        <f t="shared" si="11"/>
        <v>0</v>
      </c>
      <c r="J49" s="10">
        <f t="shared" si="12"/>
        <v>0</v>
      </c>
      <c r="K49" s="10">
        <f t="shared" si="13"/>
        <v>0</v>
      </c>
      <c r="L49" s="10">
        <f t="shared" si="14"/>
        <v>0</v>
      </c>
      <c r="M49" s="10">
        <f t="shared" si="15"/>
        <v>0</v>
      </c>
      <c r="O49" s="54" t="s">
        <v>2</v>
      </c>
      <c r="P49" s="54" t="s">
        <v>2</v>
      </c>
      <c r="Q49" s="54"/>
      <c r="R49" s="54"/>
      <c r="S49" s="54"/>
      <c r="T49" s="54"/>
      <c r="U49" s="54"/>
      <c r="V49" s="54"/>
      <c r="W49" s="54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2:45" ht="14.25" hidden="1">
      <c r="B50" s="28" t="s">
        <v>65</v>
      </c>
      <c r="C50" s="22" t="s">
        <v>91</v>
      </c>
      <c r="D50" s="26" t="s">
        <v>47</v>
      </c>
      <c r="F50" s="10">
        <f t="shared" si="8"/>
        <v>2</v>
      </c>
      <c r="G50" s="10">
        <f t="shared" si="9"/>
        <v>0</v>
      </c>
      <c r="H50" s="10">
        <f t="shared" si="10"/>
        <v>0</v>
      </c>
      <c r="I50" s="10">
        <f t="shared" si="11"/>
        <v>0</v>
      </c>
      <c r="J50" s="10">
        <f t="shared" si="12"/>
        <v>0</v>
      </c>
      <c r="K50" s="10">
        <f t="shared" si="13"/>
        <v>0</v>
      </c>
      <c r="L50" s="10">
        <f t="shared" si="14"/>
        <v>0</v>
      </c>
      <c r="M50" s="10">
        <f t="shared" si="15"/>
        <v>0</v>
      </c>
      <c r="O50" s="54" t="s">
        <v>2</v>
      </c>
      <c r="P50" s="54" t="s">
        <v>2</v>
      </c>
      <c r="Q50" s="54"/>
      <c r="R50" s="54"/>
      <c r="S50" s="54"/>
      <c r="T50" s="54"/>
      <c r="U50" s="54"/>
      <c r="V50" s="54"/>
      <c r="W50" s="54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2:45" ht="14.25" hidden="1">
      <c r="B51" s="28" t="s">
        <v>65</v>
      </c>
      <c r="C51" s="22" t="s">
        <v>92</v>
      </c>
      <c r="D51" s="26" t="s">
        <v>47</v>
      </c>
      <c r="F51" s="10">
        <f t="shared" si="8"/>
        <v>2</v>
      </c>
      <c r="G51" s="10">
        <f t="shared" si="9"/>
        <v>0</v>
      </c>
      <c r="H51" s="10">
        <f t="shared" si="10"/>
        <v>0</v>
      </c>
      <c r="I51" s="10">
        <f t="shared" si="11"/>
        <v>0</v>
      </c>
      <c r="J51" s="10">
        <f t="shared" si="12"/>
        <v>0</v>
      </c>
      <c r="K51" s="10">
        <f t="shared" si="13"/>
        <v>0</v>
      </c>
      <c r="L51" s="10">
        <f t="shared" si="14"/>
        <v>0</v>
      </c>
      <c r="M51" s="10">
        <f t="shared" si="15"/>
        <v>0</v>
      </c>
      <c r="O51" s="54" t="s">
        <v>2</v>
      </c>
      <c r="P51" s="54" t="s">
        <v>2</v>
      </c>
      <c r="Q51" s="54"/>
      <c r="R51" s="54"/>
      <c r="S51" s="54"/>
      <c r="T51" s="54"/>
      <c r="U51" s="54"/>
      <c r="V51" s="54"/>
      <c r="W51" s="54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2:45" ht="14.25" hidden="1">
      <c r="B52" s="28" t="s">
        <v>65</v>
      </c>
      <c r="C52" s="22" t="s">
        <v>93</v>
      </c>
      <c r="D52" s="26" t="s">
        <v>47</v>
      </c>
      <c r="F52" s="10">
        <f t="shared" si="8"/>
        <v>0</v>
      </c>
      <c r="G52" s="10">
        <f t="shared" si="9"/>
        <v>0</v>
      </c>
      <c r="H52" s="10">
        <f t="shared" si="10"/>
        <v>0</v>
      </c>
      <c r="I52" s="10">
        <f t="shared" si="11"/>
        <v>2</v>
      </c>
      <c r="J52" s="10">
        <f t="shared" si="12"/>
        <v>0</v>
      </c>
      <c r="K52" s="10">
        <f t="shared" si="13"/>
        <v>0</v>
      </c>
      <c r="L52" s="10">
        <f t="shared" si="14"/>
        <v>0</v>
      </c>
      <c r="M52" s="10">
        <f t="shared" si="15"/>
        <v>0</v>
      </c>
      <c r="O52" s="54" t="s">
        <v>5</v>
      </c>
      <c r="P52" s="54" t="s">
        <v>5</v>
      </c>
      <c r="Q52" s="54"/>
      <c r="R52" s="54"/>
      <c r="S52" s="54"/>
      <c r="T52" s="54"/>
      <c r="U52" s="54"/>
      <c r="V52" s="54"/>
      <c r="W52" s="54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2:45" ht="14.25" hidden="1">
      <c r="B53" s="28" t="s">
        <v>65</v>
      </c>
      <c r="C53" s="22" t="s">
        <v>94</v>
      </c>
      <c r="D53" s="26" t="s">
        <v>47</v>
      </c>
      <c r="F53" s="10">
        <f t="shared" si="8"/>
        <v>2</v>
      </c>
      <c r="G53" s="10">
        <f t="shared" si="9"/>
        <v>0</v>
      </c>
      <c r="H53" s="10">
        <f t="shared" si="10"/>
        <v>0</v>
      </c>
      <c r="I53" s="10">
        <f t="shared" si="11"/>
        <v>0</v>
      </c>
      <c r="J53" s="10">
        <f t="shared" si="12"/>
        <v>0</v>
      </c>
      <c r="K53" s="10">
        <f t="shared" si="13"/>
        <v>0</v>
      </c>
      <c r="L53" s="10">
        <f t="shared" si="14"/>
        <v>0</v>
      </c>
      <c r="M53" s="10">
        <f t="shared" si="15"/>
        <v>0</v>
      </c>
      <c r="O53" s="54" t="s">
        <v>2</v>
      </c>
      <c r="P53" s="54" t="s">
        <v>2</v>
      </c>
      <c r="Q53" s="54"/>
      <c r="R53" s="54"/>
      <c r="S53" s="54"/>
      <c r="T53" s="54"/>
      <c r="U53" s="54"/>
      <c r="V53" s="54"/>
      <c r="W53" s="54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2:45" ht="14.25" hidden="1">
      <c r="B54" s="28" t="s">
        <v>65</v>
      </c>
      <c r="C54" s="22" t="s">
        <v>95</v>
      </c>
      <c r="D54" s="26" t="s">
        <v>40</v>
      </c>
      <c r="F54" s="10">
        <f t="shared" si="8"/>
        <v>2</v>
      </c>
      <c r="G54" s="10">
        <f t="shared" si="9"/>
        <v>0</v>
      </c>
      <c r="H54" s="10">
        <f t="shared" si="10"/>
        <v>0</v>
      </c>
      <c r="I54" s="10">
        <f t="shared" si="11"/>
        <v>0</v>
      </c>
      <c r="J54" s="10">
        <f t="shared" si="12"/>
        <v>0</v>
      </c>
      <c r="K54" s="10">
        <f t="shared" si="13"/>
        <v>0</v>
      </c>
      <c r="L54" s="10">
        <f t="shared" si="14"/>
        <v>0</v>
      </c>
      <c r="M54" s="10">
        <f t="shared" si="15"/>
        <v>0</v>
      </c>
      <c r="O54" s="54" t="s">
        <v>2</v>
      </c>
      <c r="P54" s="54" t="s">
        <v>2</v>
      </c>
      <c r="Q54" s="54"/>
      <c r="R54" s="54"/>
      <c r="S54" s="54"/>
      <c r="T54" s="54"/>
      <c r="U54" s="54"/>
      <c r="V54" s="54"/>
      <c r="W54" s="54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2:45" ht="14.25" hidden="1">
      <c r="B55" s="28" t="s">
        <v>65</v>
      </c>
      <c r="C55" s="22" t="s">
        <v>96</v>
      </c>
      <c r="D55" s="26" t="s">
        <v>44</v>
      </c>
      <c r="F55" s="10">
        <f t="shared" si="8"/>
        <v>2</v>
      </c>
      <c r="G55" s="10">
        <f t="shared" si="9"/>
        <v>0</v>
      </c>
      <c r="H55" s="10">
        <f t="shared" si="10"/>
        <v>0</v>
      </c>
      <c r="I55" s="10">
        <f t="shared" si="11"/>
        <v>0</v>
      </c>
      <c r="J55" s="10">
        <f t="shared" si="12"/>
        <v>0</v>
      </c>
      <c r="K55" s="10">
        <f t="shared" si="13"/>
        <v>0</v>
      </c>
      <c r="L55" s="10">
        <f t="shared" si="14"/>
        <v>0</v>
      </c>
      <c r="M55" s="10">
        <f t="shared" si="15"/>
        <v>0</v>
      </c>
      <c r="O55" s="54" t="s">
        <v>2</v>
      </c>
      <c r="P55" s="54" t="s">
        <v>2</v>
      </c>
      <c r="Q55" s="54"/>
      <c r="R55" s="54"/>
      <c r="S55" s="54"/>
      <c r="T55" s="54"/>
      <c r="U55" s="54"/>
      <c r="V55" s="54"/>
      <c r="W55" s="54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2:45" ht="14.25" hidden="1">
      <c r="B56" s="28" t="s">
        <v>97</v>
      </c>
      <c r="C56" s="22" t="s">
        <v>98</v>
      </c>
      <c r="D56" s="26" t="s">
        <v>44</v>
      </c>
      <c r="F56" s="10">
        <f t="shared" si="8"/>
        <v>2</v>
      </c>
      <c r="G56" s="10">
        <f t="shared" si="9"/>
        <v>0</v>
      </c>
      <c r="H56" s="10">
        <f t="shared" si="10"/>
        <v>0</v>
      </c>
      <c r="I56" s="10">
        <f t="shared" si="11"/>
        <v>0</v>
      </c>
      <c r="J56" s="10">
        <f t="shared" si="12"/>
        <v>0</v>
      </c>
      <c r="K56" s="10">
        <f t="shared" si="13"/>
        <v>0</v>
      </c>
      <c r="L56" s="10">
        <f t="shared" si="14"/>
        <v>0</v>
      </c>
      <c r="M56" s="10">
        <f t="shared" si="15"/>
        <v>0</v>
      </c>
      <c r="O56" s="54" t="s">
        <v>2</v>
      </c>
      <c r="P56" s="54" t="s">
        <v>2</v>
      </c>
      <c r="Q56" s="54"/>
      <c r="R56" s="54"/>
      <c r="S56" s="54"/>
      <c r="T56" s="54"/>
      <c r="U56" s="54"/>
      <c r="V56" s="54"/>
      <c r="W56" s="54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2:45" ht="14.25" hidden="1">
      <c r="B57" s="28" t="s">
        <v>97</v>
      </c>
      <c r="C57" s="22" t="s">
        <v>99</v>
      </c>
      <c r="D57" s="26" t="s">
        <v>44</v>
      </c>
      <c r="F57" s="10">
        <f t="shared" si="8"/>
        <v>2</v>
      </c>
      <c r="G57" s="10">
        <f t="shared" si="9"/>
        <v>0</v>
      </c>
      <c r="H57" s="10">
        <f t="shared" si="10"/>
        <v>0</v>
      </c>
      <c r="I57" s="10">
        <f t="shared" si="11"/>
        <v>0</v>
      </c>
      <c r="J57" s="10">
        <f t="shared" si="12"/>
        <v>0</v>
      </c>
      <c r="K57" s="10">
        <f t="shared" si="13"/>
        <v>0</v>
      </c>
      <c r="L57" s="10">
        <f t="shared" si="14"/>
        <v>0</v>
      </c>
      <c r="M57" s="10">
        <f t="shared" si="15"/>
        <v>0</v>
      </c>
      <c r="O57" s="54" t="s">
        <v>2</v>
      </c>
      <c r="P57" s="54" t="s">
        <v>2</v>
      </c>
      <c r="Q57" s="54"/>
      <c r="R57" s="54"/>
      <c r="S57" s="54"/>
      <c r="T57" s="54"/>
      <c r="U57" s="54"/>
      <c r="V57" s="54"/>
      <c r="W57" s="54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2:45" ht="14.25" hidden="1">
      <c r="B58" s="28" t="s">
        <v>97</v>
      </c>
      <c r="C58" s="22" t="s">
        <v>100</v>
      </c>
      <c r="D58" s="26" t="s">
        <v>44</v>
      </c>
      <c r="F58" s="10">
        <f t="shared" si="8"/>
        <v>2</v>
      </c>
      <c r="G58" s="10">
        <f t="shared" si="9"/>
        <v>0</v>
      </c>
      <c r="H58" s="10">
        <f t="shared" si="10"/>
        <v>0</v>
      </c>
      <c r="I58" s="10">
        <f t="shared" si="11"/>
        <v>0</v>
      </c>
      <c r="J58" s="10">
        <f t="shared" si="12"/>
        <v>0</v>
      </c>
      <c r="K58" s="10">
        <f t="shared" si="13"/>
        <v>0</v>
      </c>
      <c r="L58" s="10">
        <f t="shared" si="14"/>
        <v>0</v>
      </c>
      <c r="M58" s="10">
        <f t="shared" si="15"/>
        <v>0</v>
      </c>
      <c r="O58" s="54" t="s">
        <v>2</v>
      </c>
      <c r="P58" s="54" t="s">
        <v>2</v>
      </c>
      <c r="Q58" s="54"/>
      <c r="R58" s="54"/>
      <c r="S58" s="54"/>
      <c r="T58" s="54"/>
      <c r="U58" s="54"/>
      <c r="V58" s="54"/>
      <c r="W58" s="54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2:45" ht="14.25" hidden="1">
      <c r="B59" s="28" t="s">
        <v>97</v>
      </c>
      <c r="C59" s="22" t="s">
        <v>101</v>
      </c>
      <c r="D59" s="26" t="s">
        <v>44</v>
      </c>
      <c r="F59" s="10">
        <f t="shared" si="8"/>
        <v>2</v>
      </c>
      <c r="G59" s="10">
        <f t="shared" si="9"/>
        <v>0</v>
      </c>
      <c r="H59" s="10">
        <f t="shared" si="10"/>
        <v>0</v>
      </c>
      <c r="I59" s="10">
        <f t="shared" si="11"/>
        <v>0</v>
      </c>
      <c r="J59" s="10">
        <f t="shared" si="12"/>
        <v>0</v>
      </c>
      <c r="K59" s="10">
        <f t="shared" si="13"/>
        <v>0</v>
      </c>
      <c r="L59" s="10">
        <f t="shared" si="14"/>
        <v>0</v>
      </c>
      <c r="M59" s="10">
        <f t="shared" si="15"/>
        <v>0</v>
      </c>
      <c r="O59" s="54" t="s">
        <v>2</v>
      </c>
      <c r="P59" s="54" t="s">
        <v>2</v>
      </c>
      <c r="Q59" s="54"/>
      <c r="R59" s="54"/>
      <c r="S59" s="54"/>
      <c r="T59" s="54"/>
      <c r="U59" s="54"/>
      <c r="V59" s="54"/>
      <c r="W59" s="54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2:45" ht="14.25" hidden="1">
      <c r="B60" s="28" t="s">
        <v>97</v>
      </c>
      <c r="C60" s="22" t="s">
        <v>102</v>
      </c>
      <c r="D60" s="26" t="s">
        <v>44</v>
      </c>
      <c r="F60" s="10">
        <f t="shared" si="8"/>
        <v>2</v>
      </c>
      <c r="G60" s="10">
        <f t="shared" si="9"/>
        <v>0</v>
      </c>
      <c r="H60" s="10">
        <f t="shared" si="10"/>
        <v>0</v>
      </c>
      <c r="I60" s="10">
        <f t="shared" si="11"/>
        <v>0</v>
      </c>
      <c r="J60" s="10">
        <f t="shared" si="12"/>
        <v>0</v>
      </c>
      <c r="K60" s="10">
        <f t="shared" si="13"/>
        <v>0</v>
      </c>
      <c r="L60" s="10">
        <f t="shared" si="14"/>
        <v>0</v>
      </c>
      <c r="M60" s="10">
        <f t="shared" si="15"/>
        <v>0</v>
      </c>
      <c r="O60" s="54" t="s">
        <v>2</v>
      </c>
      <c r="P60" s="54" t="s">
        <v>2</v>
      </c>
      <c r="Q60" s="54"/>
      <c r="R60" s="54"/>
      <c r="S60" s="54"/>
      <c r="T60" s="54"/>
      <c r="U60" s="54"/>
      <c r="V60" s="54"/>
      <c r="W60" s="54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2:45" ht="14.25" hidden="1">
      <c r="B61" s="28" t="s">
        <v>97</v>
      </c>
      <c r="C61" s="22" t="s">
        <v>103</v>
      </c>
      <c r="D61" s="26" t="s">
        <v>44</v>
      </c>
      <c r="F61" s="10">
        <f t="shared" si="8"/>
        <v>2</v>
      </c>
      <c r="G61" s="10">
        <f t="shared" si="9"/>
        <v>0</v>
      </c>
      <c r="H61" s="10">
        <f t="shared" si="10"/>
        <v>0</v>
      </c>
      <c r="I61" s="10">
        <f t="shared" si="11"/>
        <v>0</v>
      </c>
      <c r="J61" s="10">
        <f t="shared" si="12"/>
        <v>0</v>
      </c>
      <c r="K61" s="10">
        <f t="shared" si="13"/>
        <v>0</v>
      </c>
      <c r="L61" s="10">
        <f t="shared" si="14"/>
        <v>0</v>
      </c>
      <c r="M61" s="10">
        <f t="shared" si="15"/>
        <v>0</v>
      </c>
      <c r="O61" s="54" t="s">
        <v>2</v>
      </c>
      <c r="P61" s="54" t="s">
        <v>2</v>
      </c>
      <c r="Q61" s="54"/>
      <c r="R61" s="54"/>
      <c r="S61" s="54"/>
      <c r="T61" s="54"/>
      <c r="U61" s="54"/>
      <c r="V61" s="54"/>
      <c r="W61" s="54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2:45" ht="14.25" hidden="1">
      <c r="B62" s="28" t="s">
        <v>97</v>
      </c>
      <c r="C62" s="22" t="s">
        <v>104</v>
      </c>
      <c r="D62" s="26" t="s">
        <v>44</v>
      </c>
      <c r="F62" s="10">
        <f t="shared" si="8"/>
        <v>2</v>
      </c>
      <c r="G62" s="10">
        <f t="shared" si="9"/>
        <v>0</v>
      </c>
      <c r="H62" s="10">
        <f t="shared" si="10"/>
        <v>0</v>
      </c>
      <c r="I62" s="10">
        <f t="shared" si="11"/>
        <v>0</v>
      </c>
      <c r="J62" s="10">
        <f t="shared" si="12"/>
        <v>0</v>
      </c>
      <c r="K62" s="10">
        <f t="shared" si="13"/>
        <v>0</v>
      </c>
      <c r="L62" s="10">
        <f t="shared" si="14"/>
        <v>0</v>
      </c>
      <c r="M62" s="10">
        <f t="shared" si="15"/>
        <v>0</v>
      </c>
      <c r="O62" s="54" t="s">
        <v>2</v>
      </c>
      <c r="P62" s="54" t="s">
        <v>2</v>
      </c>
      <c r="Q62" s="54"/>
      <c r="R62" s="54"/>
      <c r="S62" s="54"/>
      <c r="T62" s="54"/>
      <c r="U62" s="54"/>
      <c r="V62" s="54"/>
      <c r="W62" s="54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2:45" ht="14.25" hidden="1">
      <c r="B63" s="28" t="s">
        <v>97</v>
      </c>
      <c r="C63" s="22" t="s">
        <v>105</v>
      </c>
      <c r="D63" s="26" t="s">
        <v>56</v>
      </c>
      <c r="F63" s="10">
        <f t="shared" si="8"/>
        <v>2</v>
      </c>
      <c r="G63" s="10">
        <f t="shared" si="9"/>
        <v>0</v>
      </c>
      <c r="H63" s="10">
        <f t="shared" si="10"/>
        <v>0</v>
      </c>
      <c r="I63" s="10">
        <f t="shared" si="11"/>
        <v>0</v>
      </c>
      <c r="J63" s="10">
        <f t="shared" si="12"/>
        <v>0</v>
      </c>
      <c r="K63" s="10">
        <f t="shared" si="13"/>
        <v>0</v>
      </c>
      <c r="L63" s="10">
        <f t="shared" si="14"/>
        <v>0</v>
      </c>
      <c r="M63" s="10">
        <f t="shared" si="15"/>
        <v>0</v>
      </c>
      <c r="O63" s="54" t="s">
        <v>2</v>
      </c>
      <c r="P63" s="54" t="s">
        <v>2</v>
      </c>
      <c r="Q63" s="54"/>
      <c r="R63" s="54"/>
      <c r="S63" s="54"/>
      <c r="T63" s="54"/>
      <c r="U63" s="54"/>
      <c r="V63" s="54"/>
      <c r="W63" s="54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2:45" ht="14.25" hidden="1">
      <c r="B64" s="28" t="s">
        <v>97</v>
      </c>
      <c r="C64" s="22" t="s">
        <v>106</v>
      </c>
      <c r="D64" s="26" t="s">
        <v>49</v>
      </c>
      <c r="F64" s="10">
        <f t="shared" si="8"/>
        <v>2</v>
      </c>
      <c r="G64" s="10">
        <f t="shared" si="9"/>
        <v>0</v>
      </c>
      <c r="H64" s="10">
        <f t="shared" si="10"/>
        <v>0</v>
      </c>
      <c r="I64" s="10">
        <f t="shared" si="11"/>
        <v>0</v>
      </c>
      <c r="J64" s="10">
        <f t="shared" si="12"/>
        <v>0</v>
      </c>
      <c r="K64" s="10">
        <f t="shared" si="13"/>
        <v>0</v>
      </c>
      <c r="L64" s="10">
        <f t="shared" si="14"/>
        <v>0</v>
      </c>
      <c r="M64" s="10">
        <f t="shared" si="15"/>
        <v>0</v>
      </c>
      <c r="O64" s="54" t="s">
        <v>2</v>
      </c>
      <c r="P64" s="54" t="s">
        <v>2</v>
      </c>
      <c r="Q64" s="54"/>
      <c r="R64" s="54"/>
      <c r="S64" s="54"/>
      <c r="T64" s="54"/>
      <c r="U64" s="54"/>
      <c r="V64" s="54"/>
      <c r="W64" s="54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2:45" ht="14.25" hidden="1">
      <c r="B65" s="28" t="s">
        <v>97</v>
      </c>
      <c r="C65" s="22" t="s">
        <v>107</v>
      </c>
      <c r="D65" s="26" t="s">
        <v>49</v>
      </c>
      <c r="F65" s="10">
        <f t="shared" si="8"/>
        <v>2</v>
      </c>
      <c r="G65" s="10">
        <f t="shared" si="9"/>
        <v>0</v>
      </c>
      <c r="H65" s="10">
        <f t="shared" si="10"/>
        <v>0</v>
      </c>
      <c r="I65" s="10">
        <f t="shared" si="11"/>
        <v>0</v>
      </c>
      <c r="J65" s="10">
        <f t="shared" si="12"/>
        <v>0</v>
      </c>
      <c r="K65" s="10">
        <f t="shared" si="13"/>
        <v>0</v>
      </c>
      <c r="L65" s="10">
        <f t="shared" si="14"/>
        <v>0</v>
      </c>
      <c r="M65" s="10">
        <f t="shared" si="15"/>
        <v>0</v>
      </c>
      <c r="O65" s="54" t="s">
        <v>2</v>
      </c>
      <c r="P65" s="54" t="s">
        <v>2</v>
      </c>
      <c r="Q65" s="54"/>
      <c r="R65" s="54"/>
      <c r="S65" s="54"/>
      <c r="T65" s="54"/>
      <c r="U65" s="54"/>
      <c r="V65" s="54"/>
      <c r="W65" s="5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2:45" ht="14.25" hidden="1">
      <c r="B66" s="28" t="s">
        <v>97</v>
      </c>
      <c r="C66" s="22" t="s">
        <v>109</v>
      </c>
      <c r="D66" s="26" t="s">
        <v>49</v>
      </c>
      <c r="F66" s="10">
        <f t="shared" si="8"/>
        <v>2</v>
      </c>
      <c r="G66" s="10">
        <f t="shared" si="9"/>
        <v>0</v>
      </c>
      <c r="H66" s="10">
        <f t="shared" si="10"/>
        <v>0</v>
      </c>
      <c r="I66" s="10">
        <f t="shared" si="11"/>
        <v>0</v>
      </c>
      <c r="J66" s="10">
        <f t="shared" si="12"/>
        <v>0</v>
      </c>
      <c r="K66" s="10">
        <f t="shared" si="13"/>
        <v>0</v>
      </c>
      <c r="L66" s="10">
        <f t="shared" si="14"/>
        <v>0</v>
      </c>
      <c r="M66" s="10">
        <f t="shared" si="15"/>
        <v>0</v>
      </c>
      <c r="O66" s="54" t="s">
        <v>2</v>
      </c>
      <c r="P66" s="54" t="s">
        <v>2</v>
      </c>
      <c r="Q66" s="54"/>
      <c r="R66" s="54"/>
      <c r="S66" s="54"/>
      <c r="T66" s="54"/>
      <c r="U66" s="54"/>
      <c r="V66" s="54"/>
      <c r="W66" s="54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2:45" ht="14.25" hidden="1">
      <c r="B67" s="28" t="s">
        <v>97</v>
      </c>
      <c r="C67" s="22" t="s">
        <v>110</v>
      </c>
      <c r="D67" s="26" t="s">
        <v>72</v>
      </c>
      <c r="F67" s="10">
        <f t="shared" si="8"/>
        <v>2</v>
      </c>
      <c r="G67" s="10">
        <f t="shared" si="9"/>
        <v>0</v>
      </c>
      <c r="H67" s="10">
        <f t="shared" si="10"/>
        <v>0</v>
      </c>
      <c r="I67" s="10">
        <f t="shared" si="11"/>
        <v>0</v>
      </c>
      <c r="J67" s="10">
        <f t="shared" si="12"/>
        <v>0</v>
      </c>
      <c r="K67" s="10">
        <f t="shared" si="13"/>
        <v>0</v>
      </c>
      <c r="L67" s="10">
        <f t="shared" si="14"/>
        <v>0</v>
      </c>
      <c r="M67" s="10">
        <f t="shared" si="15"/>
        <v>0</v>
      </c>
      <c r="O67" s="54" t="s">
        <v>2</v>
      </c>
      <c r="P67" s="54" t="s">
        <v>2</v>
      </c>
      <c r="Q67" s="54"/>
      <c r="R67" s="54"/>
      <c r="S67" s="54"/>
      <c r="T67" s="54"/>
      <c r="U67" s="54"/>
      <c r="V67" s="54"/>
      <c r="W67" s="54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2:45" ht="14.25" hidden="1">
      <c r="B68" s="28" t="s">
        <v>97</v>
      </c>
      <c r="C68" s="22" t="s">
        <v>111</v>
      </c>
      <c r="D68" s="26" t="s">
        <v>72</v>
      </c>
      <c r="F68" s="10">
        <f t="shared" si="8"/>
        <v>2</v>
      </c>
      <c r="G68" s="10">
        <f t="shared" si="9"/>
        <v>0</v>
      </c>
      <c r="H68" s="10">
        <f t="shared" si="10"/>
        <v>0</v>
      </c>
      <c r="I68" s="10">
        <f t="shared" si="11"/>
        <v>0</v>
      </c>
      <c r="J68" s="10">
        <f t="shared" si="12"/>
        <v>0</v>
      </c>
      <c r="K68" s="10">
        <f t="shared" si="13"/>
        <v>0</v>
      </c>
      <c r="L68" s="10">
        <f t="shared" si="14"/>
        <v>0</v>
      </c>
      <c r="M68" s="10">
        <f t="shared" si="15"/>
        <v>0</v>
      </c>
      <c r="O68" s="54" t="s">
        <v>2</v>
      </c>
      <c r="P68" s="54" t="s">
        <v>2</v>
      </c>
      <c r="Q68" s="54"/>
      <c r="R68" s="54"/>
      <c r="S68" s="54"/>
      <c r="T68" s="54"/>
      <c r="U68" s="54"/>
      <c r="V68" s="54"/>
      <c r="W68" s="54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2:45" ht="14.25" hidden="1">
      <c r="B69" s="28" t="s">
        <v>97</v>
      </c>
      <c r="C69" s="22" t="s">
        <v>112</v>
      </c>
      <c r="D69" s="26" t="s">
        <v>47</v>
      </c>
      <c r="F69" s="10">
        <f t="shared" ref="F69:F100" si="16">COUNTIF(O69:AS69,$F$5)</f>
        <v>0</v>
      </c>
      <c r="G69" s="10">
        <f t="shared" ref="G69:G100" si="17">COUNTIF(O69:AS69,$G$5)</f>
        <v>0</v>
      </c>
      <c r="H69" s="10">
        <f t="shared" ref="H69:H100" si="18">COUNTIF(O69:AS69,$H$5)</f>
        <v>0</v>
      </c>
      <c r="I69" s="10">
        <f t="shared" ref="I69:I100" si="19">COUNTIF(O69:AS69,$I$5)</f>
        <v>0</v>
      </c>
      <c r="J69" s="10">
        <f t="shared" ref="J69:J100" si="20">COUNTIF(O69:AS69,$J$5)</f>
        <v>3</v>
      </c>
      <c r="K69" s="10">
        <f t="shared" ref="K69:K100" si="21">COUNTIF(O69:AS69,$K$5)</f>
        <v>0</v>
      </c>
      <c r="L69" s="10">
        <f t="shared" ref="L69:L100" si="22">COUNTIF(O69:AS69,$L$5)</f>
        <v>0</v>
      </c>
      <c r="M69" s="10">
        <f t="shared" ref="M69:M100" si="23">COUNTIF(O69:AS69,$M$5)</f>
        <v>0</v>
      </c>
      <c r="O69" s="54" t="s">
        <v>6</v>
      </c>
      <c r="P69" s="54" t="s">
        <v>6</v>
      </c>
      <c r="Q69" s="54" t="s">
        <v>6</v>
      </c>
      <c r="R69" s="54"/>
      <c r="S69" s="54"/>
      <c r="T69" s="54"/>
      <c r="U69" s="54"/>
      <c r="V69" s="54"/>
      <c r="W69" s="54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2:45" ht="14.25" hidden="1">
      <c r="B70" s="28" t="s">
        <v>65</v>
      </c>
      <c r="C70" s="22" t="s">
        <v>113</v>
      </c>
      <c r="D70" s="26" t="s">
        <v>49</v>
      </c>
      <c r="F70" s="10">
        <f t="shared" si="16"/>
        <v>2</v>
      </c>
      <c r="G70" s="10">
        <f t="shared" si="17"/>
        <v>0</v>
      </c>
      <c r="H70" s="10">
        <f t="shared" si="18"/>
        <v>0</v>
      </c>
      <c r="I70" s="10">
        <f t="shared" si="19"/>
        <v>0</v>
      </c>
      <c r="J70" s="10">
        <f t="shared" si="20"/>
        <v>0</v>
      </c>
      <c r="K70" s="10">
        <f t="shared" si="21"/>
        <v>0</v>
      </c>
      <c r="L70" s="10">
        <f t="shared" si="22"/>
        <v>0</v>
      </c>
      <c r="M70" s="10">
        <f t="shared" si="23"/>
        <v>0</v>
      </c>
      <c r="O70" s="54" t="s">
        <v>2</v>
      </c>
      <c r="P70" s="54" t="s">
        <v>2</v>
      </c>
      <c r="Q70" s="54"/>
      <c r="R70" s="54"/>
      <c r="S70" s="54"/>
      <c r="T70" s="54"/>
      <c r="U70" s="54"/>
      <c r="V70" s="54"/>
      <c r="W70" s="54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2:45" ht="14.25" hidden="1">
      <c r="B71" s="28" t="s">
        <v>97</v>
      </c>
      <c r="C71" s="22" t="s">
        <v>114</v>
      </c>
      <c r="D71" s="26" t="s">
        <v>47</v>
      </c>
      <c r="F71" s="10">
        <f t="shared" si="16"/>
        <v>2</v>
      </c>
      <c r="G71" s="10">
        <f t="shared" si="17"/>
        <v>0</v>
      </c>
      <c r="H71" s="10">
        <f t="shared" si="18"/>
        <v>0</v>
      </c>
      <c r="I71" s="10">
        <f t="shared" si="19"/>
        <v>0</v>
      </c>
      <c r="J71" s="10">
        <f t="shared" si="20"/>
        <v>0</v>
      </c>
      <c r="K71" s="10">
        <f t="shared" si="21"/>
        <v>0</v>
      </c>
      <c r="L71" s="10">
        <f t="shared" si="22"/>
        <v>0</v>
      </c>
      <c r="M71" s="10">
        <f t="shared" si="23"/>
        <v>0</v>
      </c>
      <c r="O71" s="54" t="s">
        <v>2</v>
      </c>
      <c r="P71" s="54" t="s">
        <v>2</v>
      </c>
      <c r="Q71" s="54"/>
      <c r="R71" s="54"/>
      <c r="S71" s="54"/>
      <c r="T71" s="54"/>
      <c r="U71" s="54"/>
      <c r="V71" s="54"/>
      <c r="W71" s="54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2:45" ht="14.25" hidden="1">
      <c r="B72" s="28" t="s">
        <v>97</v>
      </c>
      <c r="C72" s="22" t="s">
        <v>115</v>
      </c>
      <c r="D72" s="26" t="s">
        <v>47</v>
      </c>
      <c r="F72" s="10">
        <f t="shared" si="16"/>
        <v>2</v>
      </c>
      <c r="G72" s="10">
        <f t="shared" si="17"/>
        <v>0</v>
      </c>
      <c r="H72" s="10">
        <f t="shared" si="18"/>
        <v>0</v>
      </c>
      <c r="I72" s="10">
        <f t="shared" si="19"/>
        <v>0</v>
      </c>
      <c r="J72" s="10">
        <f t="shared" si="20"/>
        <v>0</v>
      </c>
      <c r="K72" s="10">
        <f t="shared" si="21"/>
        <v>0</v>
      </c>
      <c r="L72" s="10">
        <f t="shared" si="22"/>
        <v>0</v>
      </c>
      <c r="M72" s="10">
        <f t="shared" si="23"/>
        <v>0</v>
      </c>
      <c r="O72" s="54" t="s">
        <v>2</v>
      </c>
      <c r="P72" s="54" t="s">
        <v>2</v>
      </c>
      <c r="Q72" s="54"/>
      <c r="R72" s="54"/>
      <c r="S72" s="54"/>
      <c r="T72" s="54"/>
      <c r="U72" s="54"/>
      <c r="V72" s="54"/>
      <c r="W72" s="54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2:45" ht="14.25" hidden="1">
      <c r="B73" s="28" t="s">
        <v>97</v>
      </c>
      <c r="C73" s="22" t="s">
        <v>116</v>
      </c>
      <c r="D73" s="26" t="s">
        <v>47</v>
      </c>
      <c r="F73" s="10">
        <f t="shared" si="16"/>
        <v>1</v>
      </c>
      <c r="G73" s="10">
        <f t="shared" si="17"/>
        <v>0</v>
      </c>
      <c r="H73" s="10">
        <f t="shared" si="18"/>
        <v>0</v>
      </c>
      <c r="I73" s="10">
        <f t="shared" si="19"/>
        <v>1</v>
      </c>
      <c r="J73" s="10">
        <f t="shared" si="20"/>
        <v>0</v>
      </c>
      <c r="K73" s="10">
        <f t="shared" si="21"/>
        <v>0</v>
      </c>
      <c r="L73" s="10">
        <f t="shared" si="22"/>
        <v>0</v>
      </c>
      <c r="M73" s="10">
        <f t="shared" si="23"/>
        <v>0</v>
      </c>
      <c r="O73" s="54" t="s">
        <v>2</v>
      </c>
      <c r="P73" s="54" t="s">
        <v>5</v>
      </c>
      <c r="Q73" s="54"/>
      <c r="R73" s="54"/>
      <c r="S73" s="54"/>
      <c r="T73" s="54"/>
      <c r="U73" s="54"/>
      <c r="V73" s="54"/>
      <c r="W73" s="54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2:45" ht="14.25" hidden="1">
      <c r="B74" s="28" t="s">
        <v>97</v>
      </c>
      <c r="C74" s="22" t="s">
        <v>117</v>
      </c>
      <c r="D74" s="26" t="s">
        <v>47</v>
      </c>
      <c r="F74" s="10">
        <f t="shared" si="16"/>
        <v>2</v>
      </c>
      <c r="G74" s="10">
        <f t="shared" si="17"/>
        <v>0</v>
      </c>
      <c r="H74" s="10">
        <f t="shared" si="18"/>
        <v>0</v>
      </c>
      <c r="I74" s="10">
        <f t="shared" si="19"/>
        <v>0</v>
      </c>
      <c r="J74" s="10">
        <f t="shared" si="20"/>
        <v>0</v>
      </c>
      <c r="K74" s="10">
        <f t="shared" si="21"/>
        <v>0</v>
      </c>
      <c r="L74" s="10">
        <f t="shared" si="22"/>
        <v>0</v>
      </c>
      <c r="M74" s="10">
        <f t="shared" si="23"/>
        <v>0</v>
      </c>
      <c r="O74" s="54" t="s">
        <v>2</v>
      </c>
      <c r="P74" s="54" t="s">
        <v>2</v>
      </c>
      <c r="Q74" s="54"/>
      <c r="R74" s="54"/>
      <c r="S74" s="54"/>
      <c r="T74" s="54"/>
      <c r="U74" s="54"/>
      <c r="V74" s="54"/>
      <c r="W74" s="54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2:45" ht="14.25" hidden="1">
      <c r="B75" s="28" t="s">
        <v>97</v>
      </c>
      <c r="C75" s="22" t="s">
        <v>118</v>
      </c>
      <c r="D75" s="26" t="s">
        <v>47</v>
      </c>
      <c r="F75" s="10">
        <f t="shared" si="16"/>
        <v>1</v>
      </c>
      <c r="G75" s="10">
        <f t="shared" si="17"/>
        <v>0</v>
      </c>
      <c r="H75" s="10">
        <f t="shared" si="18"/>
        <v>0</v>
      </c>
      <c r="I75" s="10">
        <f t="shared" si="19"/>
        <v>0</v>
      </c>
      <c r="J75" s="10">
        <f t="shared" si="20"/>
        <v>0</v>
      </c>
      <c r="K75" s="10">
        <f t="shared" si="21"/>
        <v>0</v>
      </c>
      <c r="L75" s="10">
        <f t="shared" si="22"/>
        <v>1</v>
      </c>
      <c r="M75" s="10">
        <f t="shared" si="23"/>
        <v>0</v>
      </c>
      <c r="O75" s="54" t="s">
        <v>8</v>
      </c>
      <c r="P75" s="54" t="s">
        <v>2</v>
      </c>
      <c r="Q75" s="54"/>
      <c r="R75" s="54"/>
      <c r="S75" s="54"/>
      <c r="T75" s="54"/>
      <c r="U75" s="54"/>
      <c r="V75" s="54"/>
      <c r="W75" s="54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2:45" ht="14.25" hidden="1">
      <c r="B76" s="28" t="s">
        <v>97</v>
      </c>
      <c r="C76" s="22" t="s">
        <v>119</v>
      </c>
      <c r="D76" s="26" t="s">
        <v>36</v>
      </c>
      <c r="F76" s="10">
        <f t="shared" si="16"/>
        <v>2</v>
      </c>
      <c r="G76" s="10">
        <f t="shared" si="17"/>
        <v>0</v>
      </c>
      <c r="H76" s="10">
        <f t="shared" si="18"/>
        <v>0</v>
      </c>
      <c r="I76" s="10">
        <f t="shared" si="19"/>
        <v>0</v>
      </c>
      <c r="J76" s="10">
        <f t="shared" si="20"/>
        <v>0</v>
      </c>
      <c r="K76" s="10">
        <f t="shared" si="21"/>
        <v>0</v>
      </c>
      <c r="L76" s="10">
        <f t="shared" si="22"/>
        <v>0</v>
      </c>
      <c r="M76" s="10">
        <f t="shared" si="23"/>
        <v>0</v>
      </c>
      <c r="O76" s="54" t="s">
        <v>2</v>
      </c>
      <c r="P76" s="54" t="s">
        <v>2</v>
      </c>
      <c r="Q76" s="54"/>
      <c r="R76" s="54"/>
      <c r="S76" s="54"/>
      <c r="T76" s="54"/>
      <c r="U76" s="54"/>
      <c r="V76" s="54"/>
      <c r="W76" s="54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2:45" ht="14.25" hidden="1">
      <c r="B77" s="28" t="s">
        <v>97</v>
      </c>
      <c r="C77" s="22" t="s">
        <v>120</v>
      </c>
      <c r="D77" s="26" t="s">
        <v>36</v>
      </c>
      <c r="F77" s="10">
        <f t="shared" si="16"/>
        <v>2</v>
      </c>
      <c r="G77" s="10">
        <f t="shared" si="17"/>
        <v>0</v>
      </c>
      <c r="H77" s="10">
        <f t="shared" si="18"/>
        <v>0</v>
      </c>
      <c r="I77" s="10">
        <f t="shared" si="19"/>
        <v>0</v>
      </c>
      <c r="J77" s="10">
        <f t="shared" si="20"/>
        <v>0</v>
      </c>
      <c r="K77" s="10">
        <f t="shared" si="21"/>
        <v>0</v>
      </c>
      <c r="L77" s="10">
        <f t="shared" si="22"/>
        <v>0</v>
      </c>
      <c r="M77" s="10">
        <f t="shared" si="23"/>
        <v>0</v>
      </c>
      <c r="O77" s="54" t="s">
        <v>2</v>
      </c>
      <c r="P77" s="54" t="s">
        <v>2</v>
      </c>
      <c r="Q77" s="54"/>
      <c r="R77" s="54"/>
      <c r="S77" s="54"/>
      <c r="T77" s="54"/>
      <c r="U77" s="54"/>
      <c r="V77" s="54"/>
      <c r="W77" s="54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2:45" ht="14.25" hidden="1">
      <c r="B78" s="28" t="s">
        <v>97</v>
      </c>
      <c r="C78" s="22" t="s">
        <v>121</v>
      </c>
      <c r="D78" s="26" t="s">
        <v>36</v>
      </c>
      <c r="F78" s="10">
        <f t="shared" si="16"/>
        <v>2</v>
      </c>
      <c r="G78" s="10">
        <f t="shared" si="17"/>
        <v>0</v>
      </c>
      <c r="H78" s="10">
        <f t="shared" si="18"/>
        <v>0</v>
      </c>
      <c r="I78" s="10">
        <f t="shared" si="19"/>
        <v>0</v>
      </c>
      <c r="J78" s="10">
        <f t="shared" si="20"/>
        <v>0</v>
      </c>
      <c r="K78" s="10">
        <f t="shared" si="21"/>
        <v>0</v>
      </c>
      <c r="L78" s="10">
        <f t="shared" si="22"/>
        <v>0</v>
      </c>
      <c r="M78" s="10">
        <f t="shared" si="23"/>
        <v>0</v>
      </c>
      <c r="O78" s="54" t="s">
        <v>2</v>
      </c>
      <c r="P78" s="54" t="s">
        <v>2</v>
      </c>
      <c r="Q78" s="54"/>
      <c r="R78" s="54"/>
      <c r="S78" s="54"/>
      <c r="T78" s="54"/>
      <c r="U78" s="54"/>
      <c r="V78" s="54"/>
      <c r="W78" s="54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2:45" ht="14.25" hidden="1">
      <c r="B79" s="28" t="s">
        <v>97</v>
      </c>
      <c r="C79" s="22" t="s">
        <v>122</v>
      </c>
      <c r="D79" s="26" t="s">
        <v>36</v>
      </c>
      <c r="F79" s="10">
        <f t="shared" si="16"/>
        <v>2</v>
      </c>
      <c r="G79" s="10">
        <f t="shared" si="17"/>
        <v>0</v>
      </c>
      <c r="H79" s="10">
        <f t="shared" si="18"/>
        <v>0</v>
      </c>
      <c r="I79" s="10">
        <f t="shared" si="19"/>
        <v>0</v>
      </c>
      <c r="J79" s="10">
        <f t="shared" si="20"/>
        <v>0</v>
      </c>
      <c r="K79" s="10">
        <f t="shared" si="21"/>
        <v>0</v>
      </c>
      <c r="L79" s="10">
        <f t="shared" si="22"/>
        <v>0</v>
      </c>
      <c r="M79" s="10">
        <f t="shared" si="23"/>
        <v>0</v>
      </c>
      <c r="O79" s="54" t="s">
        <v>2</v>
      </c>
      <c r="P79" s="54" t="s">
        <v>2</v>
      </c>
      <c r="Q79" s="54"/>
      <c r="R79" s="54"/>
      <c r="S79" s="54"/>
      <c r="T79" s="54"/>
      <c r="U79" s="54"/>
      <c r="V79" s="54"/>
      <c r="W79" s="54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2:45" ht="14.25" hidden="1">
      <c r="B80" s="28" t="s">
        <v>97</v>
      </c>
      <c r="C80" s="22" t="s">
        <v>123</v>
      </c>
      <c r="D80" s="26" t="s">
        <v>36</v>
      </c>
      <c r="F80" s="10">
        <f t="shared" si="16"/>
        <v>2</v>
      </c>
      <c r="G80" s="10">
        <f t="shared" si="17"/>
        <v>0</v>
      </c>
      <c r="H80" s="10">
        <f t="shared" si="18"/>
        <v>0</v>
      </c>
      <c r="I80" s="10">
        <f t="shared" si="19"/>
        <v>0</v>
      </c>
      <c r="J80" s="10">
        <f t="shared" si="20"/>
        <v>0</v>
      </c>
      <c r="K80" s="10">
        <f t="shared" si="21"/>
        <v>0</v>
      </c>
      <c r="L80" s="10">
        <f t="shared" si="22"/>
        <v>0</v>
      </c>
      <c r="M80" s="10">
        <f t="shared" si="23"/>
        <v>0</v>
      </c>
      <c r="O80" s="54" t="s">
        <v>2</v>
      </c>
      <c r="P80" s="54" t="s">
        <v>2</v>
      </c>
      <c r="Q80" s="54"/>
      <c r="R80" s="54"/>
      <c r="S80" s="54"/>
      <c r="T80" s="54"/>
      <c r="U80" s="54"/>
      <c r="V80" s="54"/>
      <c r="W80" s="54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2:45" ht="14.25" hidden="1">
      <c r="B81" s="28" t="s">
        <v>97</v>
      </c>
      <c r="C81" s="22" t="s">
        <v>124</v>
      </c>
      <c r="D81" s="26" t="s">
        <v>36</v>
      </c>
      <c r="F81" s="10">
        <f t="shared" si="16"/>
        <v>2</v>
      </c>
      <c r="G81" s="10">
        <f t="shared" si="17"/>
        <v>0</v>
      </c>
      <c r="H81" s="10">
        <f t="shared" si="18"/>
        <v>0</v>
      </c>
      <c r="I81" s="10">
        <f t="shared" si="19"/>
        <v>0</v>
      </c>
      <c r="J81" s="10">
        <f t="shared" si="20"/>
        <v>0</v>
      </c>
      <c r="K81" s="10">
        <f t="shared" si="21"/>
        <v>0</v>
      </c>
      <c r="L81" s="10">
        <f t="shared" si="22"/>
        <v>0</v>
      </c>
      <c r="M81" s="10">
        <f t="shared" si="23"/>
        <v>0</v>
      </c>
      <c r="O81" s="54" t="s">
        <v>2</v>
      </c>
      <c r="P81" s="54" t="s">
        <v>2</v>
      </c>
      <c r="Q81" s="54"/>
      <c r="R81" s="54"/>
      <c r="S81" s="54"/>
      <c r="T81" s="54"/>
      <c r="U81" s="54"/>
      <c r="V81" s="54"/>
      <c r="W81" s="54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2:45" ht="14.25" hidden="1">
      <c r="B82" s="28" t="s">
        <v>97</v>
      </c>
      <c r="C82" s="22" t="s">
        <v>125</v>
      </c>
      <c r="D82" s="26" t="s">
        <v>36</v>
      </c>
      <c r="F82" s="10">
        <f t="shared" si="16"/>
        <v>2</v>
      </c>
      <c r="G82" s="10">
        <f t="shared" si="17"/>
        <v>0</v>
      </c>
      <c r="H82" s="10">
        <f t="shared" si="18"/>
        <v>0</v>
      </c>
      <c r="I82" s="10">
        <f t="shared" si="19"/>
        <v>0</v>
      </c>
      <c r="J82" s="10">
        <f t="shared" si="20"/>
        <v>0</v>
      </c>
      <c r="K82" s="10">
        <f t="shared" si="21"/>
        <v>0</v>
      </c>
      <c r="L82" s="10">
        <f t="shared" si="22"/>
        <v>0</v>
      </c>
      <c r="M82" s="10">
        <f t="shared" si="23"/>
        <v>0</v>
      </c>
      <c r="O82" s="54" t="s">
        <v>2</v>
      </c>
      <c r="P82" s="54" t="s">
        <v>2</v>
      </c>
      <c r="Q82" s="54"/>
      <c r="R82" s="54"/>
      <c r="S82" s="54"/>
      <c r="T82" s="54"/>
      <c r="U82" s="54"/>
      <c r="V82" s="54"/>
      <c r="W82" s="54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2:45" ht="14.25" hidden="1">
      <c r="B83" s="28" t="s">
        <v>97</v>
      </c>
      <c r="C83" s="22" t="s">
        <v>126</v>
      </c>
      <c r="D83" s="26" t="s">
        <v>40</v>
      </c>
      <c r="F83" s="10">
        <f t="shared" si="16"/>
        <v>2</v>
      </c>
      <c r="G83" s="10">
        <f t="shared" si="17"/>
        <v>0</v>
      </c>
      <c r="H83" s="10">
        <f t="shared" si="18"/>
        <v>0</v>
      </c>
      <c r="I83" s="10">
        <f t="shared" si="19"/>
        <v>0</v>
      </c>
      <c r="J83" s="10">
        <f t="shared" si="20"/>
        <v>0</v>
      </c>
      <c r="K83" s="10">
        <f t="shared" si="21"/>
        <v>0</v>
      </c>
      <c r="L83" s="10">
        <f t="shared" si="22"/>
        <v>0</v>
      </c>
      <c r="M83" s="10">
        <f t="shared" si="23"/>
        <v>0</v>
      </c>
      <c r="O83" s="54" t="s">
        <v>2</v>
      </c>
      <c r="P83" s="54" t="s">
        <v>2</v>
      </c>
      <c r="Q83" s="54"/>
      <c r="R83" s="54"/>
      <c r="S83" s="54"/>
      <c r="T83" s="54"/>
      <c r="U83" s="54"/>
      <c r="V83" s="54"/>
      <c r="W83" s="54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2:45" ht="14.25" hidden="1">
      <c r="B84" s="28" t="s">
        <v>97</v>
      </c>
      <c r="C84" s="22" t="s">
        <v>127</v>
      </c>
      <c r="D84" s="26" t="s">
        <v>40</v>
      </c>
      <c r="F84" s="10">
        <f t="shared" si="16"/>
        <v>2</v>
      </c>
      <c r="G84" s="10">
        <f t="shared" si="17"/>
        <v>0</v>
      </c>
      <c r="H84" s="10">
        <f t="shared" si="18"/>
        <v>0</v>
      </c>
      <c r="I84" s="10">
        <f t="shared" si="19"/>
        <v>0</v>
      </c>
      <c r="J84" s="10">
        <f t="shared" si="20"/>
        <v>0</v>
      </c>
      <c r="K84" s="10">
        <f t="shared" si="21"/>
        <v>0</v>
      </c>
      <c r="L84" s="10">
        <f t="shared" si="22"/>
        <v>0</v>
      </c>
      <c r="M84" s="10">
        <f t="shared" si="23"/>
        <v>0</v>
      </c>
      <c r="O84" s="54" t="s">
        <v>2</v>
      </c>
      <c r="P84" s="54" t="s">
        <v>2</v>
      </c>
      <c r="Q84" s="54"/>
      <c r="R84" s="54"/>
      <c r="S84" s="54"/>
      <c r="T84" s="54"/>
      <c r="U84" s="54"/>
      <c r="V84" s="54"/>
      <c r="W84" s="54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2:45" ht="14.25" hidden="1">
      <c r="B85" s="28" t="s">
        <v>97</v>
      </c>
      <c r="C85" s="22" t="s">
        <v>128</v>
      </c>
      <c r="D85" s="26" t="s">
        <v>40</v>
      </c>
      <c r="F85" s="10">
        <f t="shared" si="16"/>
        <v>2</v>
      </c>
      <c r="G85" s="10">
        <f t="shared" si="17"/>
        <v>0</v>
      </c>
      <c r="H85" s="10">
        <f t="shared" si="18"/>
        <v>0</v>
      </c>
      <c r="I85" s="10">
        <f t="shared" si="19"/>
        <v>0</v>
      </c>
      <c r="J85" s="10">
        <f t="shared" si="20"/>
        <v>0</v>
      </c>
      <c r="K85" s="10">
        <f t="shared" si="21"/>
        <v>0</v>
      </c>
      <c r="L85" s="10">
        <f t="shared" si="22"/>
        <v>0</v>
      </c>
      <c r="M85" s="10">
        <f t="shared" si="23"/>
        <v>0</v>
      </c>
      <c r="O85" s="54" t="s">
        <v>2</v>
      </c>
      <c r="P85" s="54" t="s">
        <v>2</v>
      </c>
      <c r="Q85" s="54"/>
      <c r="R85" s="54"/>
      <c r="S85" s="54"/>
      <c r="T85" s="54"/>
      <c r="U85" s="54"/>
      <c r="V85" s="54"/>
      <c r="W85" s="54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2:45" ht="14.25" hidden="1">
      <c r="B86" s="28" t="s">
        <v>97</v>
      </c>
      <c r="C86" s="22" t="s">
        <v>129</v>
      </c>
      <c r="D86" s="26" t="s">
        <v>40</v>
      </c>
      <c r="F86" s="10">
        <f t="shared" si="16"/>
        <v>2</v>
      </c>
      <c r="G86" s="10">
        <f t="shared" si="17"/>
        <v>0</v>
      </c>
      <c r="H86" s="10">
        <f t="shared" si="18"/>
        <v>0</v>
      </c>
      <c r="I86" s="10">
        <f t="shared" si="19"/>
        <v>0</v>
      </c>
      <c r="J86" s="10">
        <f t="shared" si="20"/>
        <v>0</v>
      </c>
      <c r="K86" s="10">
        <f t="shared" si="21"/>
        <v>0</v>
      </c>
      <c r="L86" s="10">
        <f t="shared" si="22"/>
        <v>0</v>
      </c>
      <c r="M86" s="10">
        <f t="shared" si="23"/>
        <v>0</v>
      </c>
      <c r="O86" s="54" t="s">
        <v>2</v>
      </c>
      <c r="P86" s="54" t="s">
        <v>2</v>
      </c>
      <c r="Q86" s="54"/>
      <c r="R86" s="54"/>
      <c r="S86" s="54"/>
      <c r="T86" s="54"/>
      <c r="U86" s="54"/>
      <c r="V86" s="54"/>
      <c r="W86" s="54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2:45" ht="14.25" hidden="1">
      <c r="B87" s="28" t="s">
        <v>97</v>
      </c>
      <c r="C87" s="22" t="s">
        <v>130</v>
      </c>
      <c r="D87" s="26" t="s">
        <v>40</v>
      </c>
      <c r="F87" s="10">
        <f t="shared" si="16"/>
        <v>2</v>
      </c>
      <c r="G87" s="10">
        <f t="shared" si="17"/>
        <v>0</v>
      </c>
      <c r="H87" s="10">
        <f t="shared" si="18"/>
        <v>0</v>
      </c>
      <c r="I87" s="10">
        <f t="shared" si="19"/>
        <v>0</v>
      </c>
      <c r="J87" s="10">
        <f t="shared" si="20"/>
        <v>0</v>
      </c>
      <c r="K87" s="10">
        <f t="shared" si="21"/>
        <v>0</v>
      </c>
      <c r="L87" s="10">
        <f t="shared" si="22"/>
        <v>0</v>
      </c>
      <c r="M87" s="10">
        <f t="shared" si="23"/>
        <v>0</v>
      </c>
      <c r="O87" s="54" t="s">
        <v>2</v>
      </c>
      <c r="P87" s="54" t="s">
        <v>2</v>
      </c>
      <c r="Q87" s="54"/>
      <c r="R87" s="54"/>
      <c r="S87" s="54"/>
      <c r="T87" s="54"/>
      <c r="U87" s="54"/>
      <c r="V87" s="54"/>
      <c r="W87" s="54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2:45" ht="14.25" hidden="1">
      <c r="B88" s="28" t="s">
        <v>97</v>
      </c>
      <c r="C88" s="22" t="s">
        <v>131</v>
      </c>
      <c r="D88" s="26" t="s">
        <v>40</v>
      </c>
      <c r="F88" s="10">
        <f t="shared" si="16"/>
        <v>2</v>
      </c>
      <c r="G88" s="10">
        <f t="shared" si="17"/>
        <v>0</v>
      </c>
      <c r="H88" s="10">
        <f t="shared" si="18"/>
        <v>0</v>
      </c>
      <c r="I88" s="10">
        <f t="shared" si="19"/>
        <v>0</v>
      </c>
      <c r="J88" s="10">
        <f t="shared" si="20"/>
        <v>0</v>
      </c>
      <c r="K88" s="10">
        <f t="shared" si="21"/>
        <v>0</v>
      </c>
      <c r="L88" s="10">
        <f t="shared" si="22"/>
        <v>0</v>
      </c>
      <c r="M88" s="10">
        <f t="shared" si="23"/>
        <v>0</v>
      </c>
      <c r="O88" s="54" t="s">
        <v>2</v>
      </c>
      <c r="P88" s="54" t="s">
        <v>2</v>
      </c>
      <c r="Q88" s="54"/>
      <c r="R88" s="54"/>
      <c r="S88" s="54"/>
      <c r="T88" s="54"/>
      <c r="U88" s="54"/>
      <c r="V88" s="54"/>
      <c r="W88" s="54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2:45" ht="14.25" hidden="1">
      <c r="B89" s="28" t="s">
        <v>97</v>
      </c>
      <c r="C89" s="22" t="s">
        <v>132</v>
      </c>
      <c r="D89" s="26" t="s">
        <v>40</v>
      </c>
      <c r="F89" s="10">
        <f t="shared" si="16"/>
        <v>2</v>
      </c>
      <c r="G89" s="10">
        <f t="shared" si="17"/>
        <v>0</v>
      </c>
      <c r="H89" s="10">
        <f t="shared" si="18"/>
        <v>0</v>
      </c>
      <c r="I89" s="10">
        <f t="shared" si="19"/>
        <v>0</v>
      </c>
      <c r="J89" s="10">
        <f t="shared" si="20"/>
        <v>0</v>
      </c>
      <c r="K89" s="10">
        <f t="shared" si="21"/>
        <v>0</v>
      </c>
      <c r="L89" s="10">
        <f t="shared" si="22"/>
        <v>0</v>
      </c>
      <c r="M89" s="10">
        <f t="shared" si="23"/>
        <v>0</v>
      </c>
      <c r="O89" s="54" t="s">
        <v>2</v>
      </c>
      <c r="P89" s="54" t="s">
        <v>2</v>
      </c>
      <c r="Q89" s="54"/>
      <c r="R89" s="54"/>
      <c r="S89" s="54"/>
      <c r="T89" s="54"/>
      <c r="U89" s="54"/>
      <c r="V89" s="54"/>
      <c r="W89" s="54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2:45" ht="14.25" hidden="1">
      <c r="B90" s="28" t="s">
        <v>97</v>
      </c>
      <c r="C90" s="22" t="s">
        <v>133</v>
      </c>
      <c r="D90" s="26" t="s">
        <v>40</v>
      </c>
      <c r="F90" s="10">
        <f t="shared" si="16"/>
        <v>2</v>
      </c>
      <c r="G90" s="10">
        <f t="shared" si="17"/>
        <v>0</v>
      </c>
      <c r="H90" s="10">
        <f t="shared" si="18"/>
        <v>0</v>
      </c>
      <c r="I90" s="10">
        <f t="shared" si="19"/>
        <v>0</v>
      </c>
      <c r="J90" s="10">
        <f t="shared" si="20"/>
        <v>0</v>
      </c>
      <c r="K90" s="10">
        <f t="shared" si="21"/>
        <v>0</v>
      </c>
      <c r="L90" s="10">
        <f t="shared" si="22"/>
        <v>0</v>
      </c>
      <c r="M90" s="10">
        <f t="shared" si="23"/>
        <v>0</v>
      </c>
      <c r="O90" s="54" t="s">
        <v>2</v>
      </c>
      <c r="P90" s="54" t="s">
        <v>2</v>
      </c>
      <c r="Q90" s="54"/>
      <c r="R90" s="54"/>
      <c r="S90" s="54"/>
      <c r="T90" s="54"/>
      <c r="U90" s="54"/>
      <c r="V90" s="54"/>
      <c r="W90" s="54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2:45" ht="14.25" hidden="1">
      <c r="B91" s="28" t="s">
        <v>97</v>
      </c>
      <c r="C91" s="22" t="s">
        <v>134</v>
      </c>
      <c r="D91" s="26" t="s">
        <v>40</v>
      </c>
      <c r="F91" s="10">
        <f t="shared" si="16"/>
        <v>2</v>
      </c>
      <c r="G91" s="10">
        <f t="shared" si="17"/>
        <v>0</v>
      </c>
      <c r="H91" s="10">
        <f t="shared" si="18"/>
        <v>0</v>
      </c>
      <c r="I91" s="10">
        <f t="shared" si="19"/>
        <v>0</v>
      </c>
      <c r="J91" s="10">
        <f t="shared" si="20"/>
        <v>0</v>
      </c>
      <c r="K91" s="10">
        <f t="shared" si="21"/>
        <v>0</v>
      </c>
      <c r="L91" s="10">
        <f t="shared" si="22"/>
        <v>0</v>
      </c>
      <c r="M91" s="10">
        <f t="shared" si="23"/>
        <v>0</v>
      </c>
      <c r="O91" s="54" t="s">
        <v>2</v>
      </c>
      <c r="P91" s="54" t="s">
        <v>2</v>
      </c>
      <c r="Q91" s="54"/>
      <c r="R91" s="54"/>
      <c r="S91" s="54"/>
      <c r="T91" s="54"/>
      <c r="U91" s="54"/>
      <c r="V91" s="54"/>
      <c r="W91" s="54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2:45" ht="14.25" hidden="1">
      <c r="B92" s="28" t="s">
        <v>97</v>
      </c>
      <c r="C92" s="22" t="s">
        <v>135</v>
      </c>
      <c r="D92" s="26" t="s">
        <v>40</v>
      </c>
      <c r="F92" s="10">
        <f t="shared" si="16"/>
        <v>2</v>
      </c>
      <c r="G92" s="10">
        <f t="shared" si="17"/>
        <v>0</v>
      </c>
      <c r="H92" s="10">
        <f t="shared" si="18"/>
        <v>0</v>
      </c>
      <c r="I92" s="10">
        <f t="shared" si="19"/>
        <v>0</v>
      </c>
      <c r="J92" s="10">
        <f t="shared" si="20"/>
        <v>0</v>
      </c>
      <c r="K92" s="10">
        <f t="shared" si="21"/>
        <v>0</v>
      </c>
      <c r="L92" s="10">
        <f t="shared" si="22"/>
        <v>0</v>
      </c>
      <c r="M92" s="10">
        <f t="shared" si="23"/>
        <v>0</v>
      </c>
      <c r="O92" s="54" t="s">
        <v>2</v>
      </c>
      <c r="P92" s="54" t="s">
        <v>2</v>
      </c>
      <c r="Q92" s="54"/>
      <c r="R92" s="54"/>
      <c r="S92" s="54"/>
      <c r="T92" s="54"/>
      <c r="U92" s="54"/>
      <c r="V92" s="54"/>
      <c r="W92" s="54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2:45" ht="14.25" hidden="1">
      <c r="B93" s="28" t="s">
        <v>97</v>
      </c>
      <c r="C93" s="22" t="s">
        <v>136</v>
      </c>
      <c r="D93" s="26" t="s">
        <v>40</v>
      </c>
      <c r="F93" s="10">
        <f t="shared" si="16"/>
        <v>2</v>
      </c>
      <c r="G93" s="10">
        <f t="shared" si="17"/>
        <v>0</v>
      </c>
      <c r="H93" s="10">
        <f t="shared" si="18"/>
        <v>0</v>
      </c>
      <c r="I93" s="10">
        <f t="shared" si="19"/>
        <v>0</v>
      </c>
      <c r="J93" s="10">
        <f t="shared" si="20"/>
        <v>0</v>
      </c>
      <c r="K93" s="10">
        <f t="shared" si="21"/>
        <v>0</v>
      </c>
      <c r="L93" s="10">
        <f t="shared" si="22"/>
        <v>0</v>
      </c>
      <c r="M93" s="10">
        <f t="shared" si="23"/>
        <v>0</v>
      </c>
      <c r="O93" s="54" t="s">
        <v>2</v>
      </c>
      <c r="P93" s="54" t="s">
        <v>2</v>
      </c>
      <c r="Q93" s="54"/>
      <c r="R93" s="54"/>
      <c r="S93" s="54"/>
      <c r="T93" s="54"/>
      <c r="U93" s="54"/>
      <c r="V93" s="54"/>
      <c r="W93" s="54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2:45" ht="14.25" hidden="1">
      <c r="B94" s="28" t="s">
        <v>65</v>
      </c>
      <c r="C94" s="22" t="s">
        <v>137</v>
      </c>
      <c r="D94" s="26" t="s">
        <v>40</v>
      </c>
      <c r="F94" s="10">
        <f t="shared" si="16"/>
        <v>2</v>
      </c>
      <c r="G94" s="10">
        <f t="shared" si="17"/>
        <v>0</v>
      </c>
      <c r="H94" s="10">
        <f t="shared" si="18"/>
        <v>0</v>
      </c>
      <c r="I94" s="10">
        <f t="shared" si="19"/>
        <v>0</v>
      </c>
      <c r="J94" s="10">
        <f t="shared" si="20"/>
        <v>0</v>
      </c>
      <c r="K94" s="10">
        <f t="shared" si="21"/>
        <v>0</v>
      </c>
      <c r="L94" s="10">
        <f t="shared" si="22"/>
        <v>0</v>
      </c>
      <c r="M94" s="10">
        <f t="shared" si="23"/>
        <v>0</v>
      </c>
      <c r="O94" s="54" t="s">
        <v>2</v>
      </c>
      <c r="P94" s="54" t="s">
        <v>2</v>
      </c>
      <c r="Q94" s="54"/>
      <c r="R94" s="54"/>
      <c r="S94" s="54"/>
      <c r="T94" s="54"/>
      <c r="U94" s="54"/>
      <c r="V94" s="54"/>
      <c r="W94" s="54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2:45" ht="14.25" hidden="1">
      <c r="B95" s="28" t="s">
        <v>97</v>
      </c>
      <c r="C95" s="22" t="s">
        <v>138</v>
      </c>
      <c r="D95" s="26" t="s">
        <v>40</v>
      </c>
      <c r="F95" s="10">
        <f t="shared" si="16"/>
        <v>2</v>
      </c>
      <c r="G95" s="10">
        <f t="shared" si="17"/>
        <v>0</v>
      </c>
      <c r="H95" s="10">
        <f t="shared" si="18"/>
        <v>0</v>
      </c>
      <c r="I95" s="10">
        <f t="shared" si="19"/>
        <v>0</v>
      </c>
      <c r="J95" s="10">
        <f t="shared" si="20"/>
        <v>0</v>
      </c>
      <c r="K95" s="10">
        <f t="shared" si="21"/>
        <v>0</v>
      </c>
      <c r="L95" s="10">
        <f t="shared" si="22"/>
        <v>0</v>
      </c>
      <c r="M95" s="10">
        <f t="shared" si="23"/>
        <v>0</v>
      </c>
      <c r="O95" s="54" t="s">
        <v>2</v>
      </c>
      <c r="P95" s="54" t="s">
        <v>2</v>
      </c>
      <c r="Q95" s="54"/>
      <c r="R95" s="54"/>
      <c r="S95" s="54"/>
      <c r="T95" s="54"/>
      <c r="U95" s="54"/>
      <c r="V95" s="54"/>
      <c r="W95" s="54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2:45" ht="14.25" hidden="1">
      <c r="B96" s="28" t="s">
        <v>97</v>
      </c>
      <c r="C96" s="22" t="s">
        <v>139</v>
      </c>
      <c r="D96" s="26" t="s">
        <v>40</v>
      </c>
      <c r="F96" s="10">
        <f t="shared" si="16"/>
        <v>2</v>
      </c>
      <c r="G96" s="10">
        <f t="shared" si="17"/>
        <v>0</v>
      </c>
      <c r="H96" s="10">
        <f t="shared" si="18"/>
        <v>0</v>
      </c>
      <c r="I96" s="10">
        <f t="shared" si="19"/>
        <v>0</v>
      </c>
      <c r="J96" s="10">
        <f t="shared" si="20"/>
        <v>0</v>
      </c>
      <c r="K96" s="10">
        <f t="shared" si="21"/>
        <v>0</v>
      </c>
      <c r="L96" s="10">
        <f t="shared" si="22"/>
        <v>0</v>
      </c>
      <c r="M96" s="10">
        <f t="shared" si="23"/>
        <v>0</v>
      </c>
      <c r="O96" s="54" t="s">
        <v>2</v>
      </c>
      <c r="P96" s="54" t="s">
        <v>2</v>
      </c>
      <c r="Q96" s="54"/>
      <c r="R96" s="54"/>
      <c r="S96" s="54"/>
      <c r="T96" s="54"/>
      <c r="U96" s="54"/>
      <c r="V96" s="54"/>
      <c r="W96" s="54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2:45" ht="14.25" hidden="1">
      <c r="B97" s="28" t="s">
        <v>97</v>
      </c>
      <c r="C97" s="22" t="s">
        <v>140</v>
      </c>
      <c r="D97" s="26" t="s">
        <v>51</v>
      </c>
      <c r="F97" s="10">
        <f t="shared" si="16"/>
        <v>2</v>
      </c>
      <c r="G97" s="10">
        <f t="shared" si="17"/>
        <v>0</v>
      </c>
      <c r="H97" s="10">
        <f t="shared" si="18"/>
        <v>0</v>
      </c>
      <c r="I97" s="10">
        <f t="shared" si="19"/>
        <v>0</v>
      </c>
      <c r="J97" s="10">
        <f t="shared" si="20"/>
        <v>0</v>
      </c>
      <c r="K97" s="10">
        <f t="shared" si="21"/>
        <v>0</v>
      </c>
      <c r="L97" s="10">
        <f t="shared" si="22"/>
        <v>0</v>
      </c>
      <c r="M97" s="10">
        <f t="shared" si="23"/>
        <v>0</v>
      </c>
      <c r="O97" s="54" t="s">
        <v>2</v>
      </c>
      <c r="P97" s="54" t="s">
        <v>2</v>
      </c>
      <c r="Q97" s="54"/>
      <c r="R97" s="54"/>
      <c r="S97" s="54"/>
      <c r="T97" s="54"/>
      <c r="U97" s="54"/>
      <c r="V97" s="54"/>
      <c r="W97" s="54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2:45" ht="14.25" hidden="1">
      <c r="B98" s="28" t="s">
        <v>97</v>
      </c>
      <c r="C98" s="22" t="s">
        <v>141</v>
      </c>
      <c r="D98" s="26" t="s">
        <v>63</v>
      </c>
      <c r="F98" s="10">
        <f t="shared" si="16"/>
        <v>2</v>
      </c>
      <c r="G98" s="10">
        <f t="shared" si="17"/>
        <v>0</v>
      </c>
      <c r="H98" s="10">
        <f t="shared" si="18"/>
        <v>0</v>
      </c>
      <c r="I98" s="10">
        <f t="shared" si="19"/>
        <v>0</v>
      </c>
      <c r="J98" s="10">
        <f t="shared" si="20"/>
        <v>0</v>
      </c>
      <c r="K98" s="10">
        <f t="shared" si="21"/>
        <v>0</v>
      </c>
      <c r="L98" s="10">
        <f t="shared" si="22"/>
        <v>0</v>
      </c>
      <c r="M98" s="10">
        <f t="shared" si="23"/>
        <v>0</v>
      </c>
      <c r="O98" s="54" t="s">
        <v>2</v>
      </c>
      <c r="P98" s="54" t="s">
        <v>2</v>
      </c>
      <c r="Q98" s="54"/>
      <c r="R98" s="54"/>
      <c r="S98" s="54"/>
      <c r="T98" s="54"/>
      <c r="U98" s="54"/>
      <c r="V98" s="54"/>
      <c r="W98" s="54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2:45" ht="14.25" hidden="1">
      <c r="B99" s="28" t="s">
        <v>97</v>
      </c>
      <c r="C99" s="22" t="s">
        <v>142</v>
      </c>
      <c r="D99" s="26" t="s">
        <v>63</v>
      </c>
      <c r="F99" s="10">
        <f t="shared" si="16"/>
        <v>2</v>
      </c>
      <c r="G99" s="10">
        <f t="shared" si="17"/>
        <v>0</v>
      </c>
      <c r="H99" s="10">
        <f t="shared" si="18"/>
        <v>0</v>
      </c>
      <c r="I99" s="10">
        <f t="shared" si="19"/>
        <v>0</v>
      </c>
      <c r="J99" s="10">
        <f t="shared" si="20"/>
        <v>0</v>
      </c>
      <c r="K99" s="10">
        <f t="shared" si="21"/>
        <v>0</v>
      </c>
      <c r="L99" s="10">
        <f t="shared" si="22"/>
        <v>0</v>
      </c>
      <c r="M99" s="10">
        <f t="shared" si="23"/>
        <v>0</v>
      </c>
      <c r="O99" s="54" t="s">
        <v>2</v>
      </c>
      <c r="P99" s="54" t="s">
        <v>2</v>
      </c>
      <c r="Q99" s="54"/>
      <c r="R99" s="54"/>
      <c r="S99" s="54"/>
      <c r="T99" s="54"/>
      <c r="U99" s="54"/>
      <c r="V99" s="54"/>
      <c r="W99" s="54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2:45" ht="14.25">
      <c r="B100" s="28" t="s">
        <v>143</v>
      </c>
      <c r="C100" s="22" t="s">
        <v>144</v>
      </c>
      <c r="D100" s="26" t="s">
        <v>72</v>
      </c>
      <c r="F100" s="10">
        <f t="shared" si="16"/>
        <v>3</v>
      </c>
      <c r="G100" s="10">
        <f t="shared" si="17"/>
        <v>0</v>
      </c>
      <c r="H100" s="10">
        <f t="shared" si="18"/>
        <v>0</v>
      </c>
      <c r="I100" s="10">
        <f t="shared" si="19"/>
        <v>0</v>
      </c>
      <c r="J100" s="10">
        <f t="shared" si="20"/>
        <v>0</v>
      </c>
      <c r="K100" s="10">
        <f t="shared" si="21"/>
        <v>0</v>
      </c>
      <c r="L100" s="10">
        <f t="shared" si="22"/>
        <v>0</v>
      </c>
      <c r="M100" s="10">
        <f t="shared" si="23"/>
        <v>0</v>
      </c>
      <c r="O100" s="54" t="s">
        <v>2</v>
      </c>
      <c r="P100" s="54" t="s">
        <v>2</v>
      </c>
      <c r="Q100" s="54" t="s">
        <v>2</v>
      </c>
      <c r="R100" s="54"/>
      <c r="S100" s="54"/>
      <c r="T100" s="54"/>
      <c r="U100" s="54"/>
      <c r="V100" s="54"/>
      <c r="W100" s="54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2:45" ht="14.25">
      <c r="B101" s="28" t="s">
        <v>143</v>
      </c>
      <c r="C101" s="22" t="s">
        <v>145</v>
      </c>
      <c r="D101" s="26" t="s">
        <v>49</v>
      </c>
      <c r="F101" s="10">
        <f t="shared" ref="F101:F118" si="24">COUNTIF(O101:AS101,$F$5)</f>
        <v>3</v>
      </c>
      <c r="G101" s="10">
        <f t="shared" ref="G101:G118" si="25">COUNTIF(O101:AS101,$G$5)</f>
        <v>0</v>
      </c>
      <c r="H101" s="10">
        <f t="shared" ref="H101:H118" si="26">COUNTIF(O101:AS101,$H$5)</f>
        <v>0</v>
      </c>
      <c r="I101" s="10">
        <f t="shared" ref="I101:I118" si="27">COUNTIF(O101:AS101,$I$5)</f>
        <v>0</v>
      </c>
      <c r="J101" s="10">
        <f t="shared" ref="J101:J118" si="28">COUNTIF(O101:AS101,$J$5)</f>
        <v>0</v>
      </c>
      <c r="K101" s="10">
        <f t="shared" ref="K101:K118" si="29">COUNTIF(O101:AS101,$K$5)</f>
        <v>0</v>
      </c>
      <c r="L101" s="10">
        <f t="shared" ref="L101:L118" si="30">COUNTIF(O101:AS101,$L$5)</f>
        <v>0</v>
      </c>
      <c r="M101" s="10">
        <f t="shared" ref="M101:M118" si="31">COUNTIF(O101:AS101,$M$5)</f>
        <v>0</v>
      </c>
      <c r="O101" s="54" t="s">
        <v>2</v>
      </c>
      <c r="P101" s="54" t="s">
        <v>2</v>
      </c>
      <c r="Q101" s="54" t="s">
        <v>2</v>
      </c>
      <c r="R101" s="54"/>
      <c r="S101" s="54"/>
      <c r="T101" s="54"/>
      <c r="U101" s="54"/>
      <c r="V101" s="54"/>
      <c r="W101" s="54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2:45" ht="14.25">
      <c r="B102" s="28" t="s">
        <v>143</v>
      </c>
      <c r="C102" s="22" t="s">
        <v>146</v>
      </c>
      <c r="D102" s="26" t="s">
        <v>49</v>
      </c>
      <c r="F102" s="10">
        <f t="shared" si="24"/>
        <v>3</v>
      </c>
      <c r="G102" s="10">
        <f t="shared" si="25"/>
        <v>0</v>
      </c>
      <c r="H102" s="10">
        <f t="shared" si="26"/>
        <v>0</v>
      </c>
      <c r="I102" s="10">
        <f t="shared" si="27"/>
        <v>0</v>
      </c>
      <c r="J102" s="10">
        <f t="shared" si="28"/>
        <v>0</v>
      </c>
      <c r="K102" s="10">
        <f t="shared" si="29"/>
        <v>0</v>
      </c>
      <c r="L102" s="10">
        <f t="shared" si="30"/>
        <v>0</v>
      </c>
      <c r="M102" s="10">
        <f t="shared" si="31"/>
        <v>0</v>
      </c>
      <c r="O102" s="54" t="s">
        <v>2</v>
      </c>
      <c r="P102" s="54" t="s">
        <v>2</v>
      </c>
      <c r="Q102" s="54" t="s">
        <v>2</v>
      </c>
      <c r="R102" s="54"/>
      <c r="S102" s="54"/>
      <c r="T102" s="54"/>
      <c r="U102" s="54"/>
      <c r="V102" s="54"/>
      <c r="W102" s="54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2:45" ht="14.25">
      <c r="B103" s="28" t="s">
        <v>143</v>
      </c>
      <c r="C103" s="22" t="s">
        <v>147</v>
      </c>
      <c r="D103" s="26" t="s">
        <v>49</v>
      </c>
      <c r="F103" s="10">
        <f t="shared" si="24"/>
        <v>3</v>
      </c>
      <c r="G103" s="10">
        <f t="shared" si="25"/>
        <v>0</v>
      </c>
      <c r="H103" s="10">
        <f t="shared" si="26"/>
        <v>0</v>
      </c>
      <c r="I103" s="10">
        <f t="shared" si="27"/>
        <v>0</v>
      </c>
      <c r="J103" s="10">
        <f t="shared" si="28"/>
        <v>0</v>
      </c>
      <c r="K103" s="10">
        <f t="shared" si="29"/>
        <v>0</v>
      </c>
      <c r="L103" s="10">
        <f t="shared" si="30"/>
        <v>0</v>
      </c>
      <c r="M103" s="10">
        <f t="shared" si="31"/>
        <v>0</v>
      </c>
      <c r="O103" s="54" t="s">
        <v>2</v>
      </c>
      <c r="P103" s="54" t="s">
        <v>2</v>
      </c>
      <c r="Q103" s="54" t="s">
        <v>2</v>
      </c>
      <c r="R103" s="54"/>
      <c r="S103" s="54"/>
      <c r="T103" s="54"/>
      <c r="U103" s="54"/>
      <c r="V103" s="54"/>
      <c r="W103" s="54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2:45" ht="14.25">
      <c r="B104" s="28" t="s">
        <v>143</v>
      </c>
      <c r="C104" s="22" t="s">
        <v>148</v>
      </c>
      <c r="D104" s="26" t="s">
        <v>36</v>
      </c>
      <c r="F104" s="10">
        <f t="shared" si="24"/>
        <v>3</v>
      </c>
      <c r="G104" s="10">
        <f t="shared" si="25"/>
        <v>0</v>
      </c>
      <c r="H104" s="10">
        <f t="shared" si="26"/>
        <v>0</v>
      </c>
      <c r="I104" s="10">
        <f t="shared" si="27"/>
        <v>0</v>
      </c>
      <c r="J104" s="10">
        <f t="shared" si="28"/>
        <v>0</v>
      </c>
      <c r="K104" s="10">
        <f t="shared" si="29"/>
        <v>0</v>
      </c>
      <c r="L104" s="10">
        <f t="shared" si="30"/>
        <v>0</v>
      </c>
      <c r="M104" s="10">
        <f t="shared" si="31"/>
        <v>0</v>
      </c>
      <c r="O104" s="54" t="s">
        <v>2</v>
      </c>
      <c r="P104" s="54" t="s">
        <v>2</v>
      </c>
      <c r="Q104" s="54" t="s">
        <v>2</v>
      </c>
      <c r="R104" s="54"/>
      <c r="S104" s="54"/>
      <c r="T104" s="54"/>
      <c r="U104" s="54"/>
      <c r="V104" s="54"/>
      <c r="W104" s="54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2:45" ht="14.25">
      <c r="B105" s="28" t="s">
        <v>143</v>
      </c>
      <c r="C105" s="22" t="s">
        <v>149</v>
      </c>
      <c r="D105" s="26" t="s">
        <v>36</v>
      </c>
      <c r="F105" s="10">
        <f t="shared" si="24"/>
        <v>2</v>
      </c>
      <c r="G105" s="10">
        <f t="shared" si="25"/>
        <v>0</v>
      </c>
      <c r="H105" s="10">
        <f t="shared" si="26"/>
        <v>0</v>
      </c>
      <c r="I105" s="10">
        <f t="shared" si="27"/>
        <v>0</v>
      </c>
      <c r="J105" s="10">
        <f t="shared" si="28"/>
        <v>0</v>
      </c>
      <c r="K105" s="10">
        <f t="shared" si="29"/>
        <v>1</v>
      </c>
      <c r="L105" s="10">
        <f t="shared" si="30"/>
        <v>0</v>
      </c>
      <c r="M105" s="10">
        <f t="shared" si="31"/>
        <v>0</v>
      </c>
      <c r="O105" s="54" t="s">
        <v>2</v>
      </c>
      <c r="P105" s="54" t="s">
        <v>2</v>
      </c>
      <c r="Q105" s="54" t="s">
        <v>7</v>
      </c>
      <c r="R105" s="54"/>
      <c r="S105" s="54"/>
      <c r="T105" s="54"/>
      <c r="U105" s="54"/>
      <c r="V105" s="54"/>
      <c r="W105" s="54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2:45" ht="14.25">
      <c r="B106" s="28" t="s">
        <v>143</v>
      </c>
      <c r="C106" s="22" t="s">
        <v>75</v>
      </c>
      <c r="D106" s="26" t="s">
        <v>36</v>
      </c>
      <c r="F106" s="10">
        <f t="shared" si="24"/>
        <v>1</v>
      </c>
      <c r="G106" s="10">
        <f t="shared" si="25"/>
        <v>0</v>
      </c>
      <c r="H106" s="10">
        <f t="shared" si="26"/>
        <v>1</v>
      </c>
      <c r="I106" s="10">
        <f t="shared" si="27"/>
        <v>1</v>
      </c>
      <c r="J106" s="10">
        <f t="shared" si="28"/>
        <v>0</v>
      </c>
      <c r="K106" s="10">
        <f t="shared" si="29"/>
        <v>0</v>
      </c>
      <c r="L106" s="10">
        <f t="shared" si="30"/>
        <v>0</v>
      </c>
      <c r="M106" s="10">
        <f t="shared" si="31"/>
        <v>0</v>
      </c>
      <c r="O106" s="54" t="s">
        <v>5</v>
      </c>
      <c r="P106" s="54" t="s">
        <v>2</v>
      </c>
      <c r="Q106" s="54" t="s">
        <v>4</v>
      </c>
      <c r="R106" s="54"/>
      <c r="S106" s="54"/>
      <c r="T106" s="54"/>
      <c r="U106" s="54"/>
      <c r="V106" s="54"/>
      <c r="W106" s="54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2:45" ht="14.25">
      <c r="B107" s="28" t="s">
        <v>143</v>
      </c>
      <c r="C107" s="22" t="s">
        <v>150</v>
      </c>
      <c r="D107" s="26" t="s">
        <v>36</v>
      </c>
      <c r="F107" s="10">
        <f t="shared" si="24"/>
        <v>3</v>
      </c>
      <c r="G107" s="10">
        <f t="shared" si="25"/>
        <v>0</v>
      </c>
      <c r="H107" s="10">
        <f t="shared" si="26"/>
        <v>0</v>
      </c>
      <c r="I107" s="10">
        <f t="shared" si="27"/>
        <v>0</v>
      </c>
      <c r="J107" s="10">
        <f t="shared" si="28"/>
        <v>0</v>
      </c>
      <c r="K107" s="10">
        <f t="shared" si="29"/>
        <v>0</v>
      </c>
      <c r="L107" s="10">
        <f t="shared" si="30"/>
        <v>0</v>
      </c>
      <c r="M107" s="10">
        <f t="shared" si="31"/>
        <v>0</v>
      </c>
      <c r="O107" s="54" t="s">
        <v>2</v>
      </c>
      <c r="P107" s="54" t="s">
        <v>2</v>
      </c>
      <c r="Q107" s="54" t="s">
        <v>2</v>
      </c>
      <c r="R107" s="54"/>
      <c r="S107" s="54"/>
      <c r="T107" s="54"/>
      <c r="U107" s="54"/>
      <c r="V107" s="54"/>
      <c r="W107" s="54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2:45" ht="14.25">
      <c r="B108" s="28" t="s">
        <v>143</v>
      </c>
      <c r="C108" s="22" t="s">
        <v>137</v>
      </c>
      <c r="D108" s="26" t="s">
        <v>40</v>
      </c>
      <c r="F108" s="10">
        <f t="shared" si="24"/>
        <v>3</v>
      </c>
      <c r="G108" s="10">
        <f t="shared" si="25"/>
        <v>0</v>
      </c>
      <c r="H108" s="10">
        <f t="shared" si="26"/>
        <v>0</v>
      </c>
      <c r="I108" s="10">
        <f t="shared" si="27"/>
        <v>0</v>
      </c>
      <c r="J108" s="10">
        <f t="shared" si="28"/>
        <v>0</v>
      </c>
      <c r="K108" s="10">
        <f t="shared" si="29"/>
        <v>0</v>
      </c>
      <c r="L108" s="10">
        <f t="shared" si="30"/>
        <v>0</v>
      </c>
      <c r="M108" s="10">
        <f t="shared" si="31"/>
        <v>0</v>
      </c>
      <c r="O108" s="63" t="s">
        <v>2</v>
      </c>
      <c r="P108" s="54" t="s">
        <v>2</v>
      </c>
      <c r="Q108" s="54" t="s">
        <v>2</v>
      </c>
      <c r="R108" s="54"/>
      <c r="S108" s="54"/>
      <c r="T108" s="54"/>
      <c r="U108" s="54"/>
      <c r="V108" s="54"/>
      <c r="W108" s="54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2:45" ht="14.25">
      <c r="B109" s="28" t="s">
        <v>143</v>
      </c>
      <c r="C109" s="22" t="s">
        <v>151</v>
      </c>
      <c r="D109" s="26" t="s">
        <v>40</v>
      </c>
      <c r="F109" s="10">
        <f t="shared" si="24"/>
        <v>3</v>
      </c>
      <c r="G109" s="10">
        <f t="shared" si="25"/>
        <v>0</v>
      </c>
      <c r="H109" s="10">
        <f t="shared" si="26"/>
        <v>0</v>
      </c>
      <c r="I109" s="10">
        <f t="shared" si="27"/>
        <v>0</v>
      </c>
      <c r="J109" s="10">
        <f t="shared" si="28"/>
        <v>0</v>
      </c>
      <c r="K109" s="10">
        <f t="shared" si="29"/>
        <v>0</v>
      </c>
      <c r="L109" s="10">
        <f t="shared" si="30"/>
        <v>0</v>
      </c>
      <c r="M109" s="10">
        <f t="shared" si="31"/>
        <v>0</v>
      </c>
      <c r="O109" s="54" t="s">
        <v>2</v>
      </c>
      <c r="P109" s="54" t="s">
        <v>2</v>
      </c>
      <c r="Q109" s="54" t="s">
        <v>2</v>
      </c>
      <c r="R109" s="54"/>
      <c r="S109" s="54"/>
      <c r="T109" s="54"/>
      <c r="U109" s="54"/>
      <c r="V109" s="54"/>
      <c r="W109" s="54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2:45" ht="14.25">
      <c r="B110" s="28" t="s">
        <v>143</v>
      </c>
      <c r="C110" s="22" t="s">
        <v>152</v>
      </c>
      <c r="D110" s="26" t="s">
        <v>44</v>
      </c>
      <c r="F110" s="10">
        <f t="shared" si="24"/>
        <v>3</v>
      </c>
      <c r="G110" s="10">
        <f t="shared" si="25"/>
        <v>0</v>
      </c>
      <c r="H110" s="10">
        <f t="shared" si="26"/>
        <v>0</v>
      </c>
      <c r="I110" s="10">
        <f t="shared" si="27"/>
        <v>0</v>
      </c>
      <c r="J110" s="10">
        <f t="shared" si="28"/>
        <v>0</v>
      </c>
      <c r="K110" s="10">
        <f t="shared" si="29"/>
        <v>0</v>
      </c>
      <c r="L110" s="10">
        <f t="shared" si="30"/>
        <v>0</v>
      </c>
      <c r="M110" s="10">
        <f t="shared" si="31"/>
        <v>0</v>
      </c>
      <c r="O110" s="54" t="s">
        <v>2</v>
      </c>
      <c r="P110" s="54" t="s">
        <v>2</v>
      </c>
      <c r="Q110" s="54" t="s">
        <v>2</v>
      </c>
      <c r="R110" s="54"/>
      <c r="S110" s="54"/>
      <c r="T110" s="54"/>
      <c r="U110" s="54"/>
      <c r="V110" s="54"/>
      <c r="W110" s="54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2:45" ht="14.25">
      <c r="B111" s="28" t="s">
        <v>143</v>
      </c>
      <c r="C111" s="22" t="s">
        <v>153</v>
      </c>
      <c r="D111" s="26" t="s">
        <v>47</v>
      </c>
      <c r="F111" s="10">
        <f t="shared" si="24"/>
        <v>3</v>
      </c>
      <c r="G111" s="10">
        <f t="shared" si="25"/>
        <v>0</v>
      </c>
      <c r="H111" s="10">
        <f t="shared" si="26"/>
        <v>0</v>
      </c>
      <c r="I111" s="10">
        <f t="shared" si="27"/>
        <v>0</v>
      </c>
      <c r="J111" s="10">
        <f t="shared" si="28"/>
        <v>0</v>
      </c>
      <c r="K111" s="10">
        <f t="shared" si="29"/>
        <v>0</v>
      </c>
      <c r="L111" s="10">
        <f t="shared" si="30"/>
        <v>0</v>
      </c>
      <c r="M111" s="10">
        <f t="shared" si="31"/>
        <v>0</v>
      </c>
      <c r="O111" s="54" t="s">
        <v>2</v>
      </c>
      <c r="P111" s="54" t="s">
        <v>2</v>
      </c>
      <c r="Q111" s="54" t="s">
        <v>2</v>
      </c>
      <c r="R111" s="54"/>
      <c r="S111" s="54"/>
      <c r="T111" s="54"/>
      <c r="U111" s="54"/>
      <c r="V111" s="54"/>
      <c r="W111" s="54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2:45" ht="14.25">
      <c r="B112" s="60" t="s">
        <v>143</v>
      </c>
      <c r="C112" s="61" t="s">
        <v>169</v>
      </c>
      <c r="D112" s="62" t="s">
        <v>47</v>
      </c>
      <c r="F112" s="10">
        <f t="shared" si="24"/>
        <v>0</v>
      </c>
      <c r="G112" s="10">
        <f t="shared" si="25"/>
        <v>0</v>
      </c>
      <c r="H112" s="10">
        <f t="shared" si="26"/>
        <v>0</v>
      </c>
      <c r="I112" s="10">
        <f t="shared" si="27"/>
        <v>0</v>
      </c>
      <c r="J112" s="10">
        <f t="shared" si="28"/>
        <v>0</v>
      </c>
      <c r="K112" s="10">
        <f t="shared" si="29"/>
        <v>0</v>
      </c>
      <c r="L112" s="10">
        <f t="shared" si="30"/>
        <v>0</v>
      </c>
      <c r="M112" s="10">
        <f t="shared" si="31"/>
        <v>0</v>
      </c>
      <c r="O112" s="52"/>
      <c r="P112" s="52"/>
      <c r="Q112" s="54"/>
      <c r="R112" s="54"/>
      <c r="S112" s="54"/>
      <c r="T112" s="54"/>
      <c r="U112" s="54"/>
      <c r="V112" s="54"/>
      <c r="W112" s="54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2:46" ht="14.25">
      <c r="B113" s="60" t="s">
        <v>143</v>
      </c>
      <c r="C113" s="61" t="s">
        <v>169</v>
      </c>
      <c r="D113" s="62" t="s">
        <v>44</v>
      </c>
      <c r="F113" s="10">
        <f t="shared" si="24"/>
        <v>0</v>
      </c>
      <c r="G113" s="10">
        <f t="shared" si="25"/>
        <v>0</v>
      </c>
      <c r="H113" s="10">
        <f t="shared" si="26"/>
        <v>0</v>
      </c>
      <c r="I113" s="10">
        <f t="shared" si="27"/>
        <v>0</v>
      </c>
      <c r="J113" s="10">
        <f t="shared" si="28"/>
        <v>0</v>
      </c>
      <c r="K113" s="10">
        <f t="shared" si="29"/>
        <v>0</v>
      </c>
      <c r="L113" s="10">
        <f t="shared" si="30"/>
        <v>0</v>
      </c>
      <c r="M113" s="10">
        <f t="shared" si="31"/>
        <v>0</v>
      </c>
      <c r="O113" s="52"/>
      <c r="P113" s="52"/>
      <c r="Q113" s="54"/>
      <c r="R113" s="54"/>
      <c r="S113" s="54"/>
      <c r="T113" s="54"/>
      <c r="U113" s="54"/>
      <c r="V113" s="54"/>
      <c r="W113" s="54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2:46" ht="14.25">
      <c r="B114" s="60" t="s">
        <v>143</v>
      </c>
      <c r="C114" s="61" t="s">
        <v>169</v>
      </c>
      <c r="D114" s="62" t="s">
        <v>44</v>
      </c>
      <c r="F114" s="10">
        <f t="shared" si="24"/>
        <v>0</v>
      </c>
      <c r="G114" s="10">
        <f t="shared" si="25"/>
        <v>0</v>
      </c>
      <c r="H114" s="10">
        <f t="shared" si="26"/>
        <v>0</v>
      </c>
      <c r="I114" s="10">
        <f t="shared" si="27"/>
        <v>0</v>
      </c>
      <c r="J114" s="10">
        <f t="shared" si="28"/>
        <v>0</v>
      </c>
      <c r="K114" s="10">
        <f t="shared" si="29"/>
        <v>0</v>
      </c>
      <c r="L114" s="10">
        <f t="shared" si="30"/>
        <v>0</v>
      </c>
      <c r="M114" s="10">
        <f t="shared" si="31"/>
        <v>0</v>
      </c>
      <c r="O114" s="52"/>
      <c r="P114" s="52"/>
      <c r="Q114" s="54"/>
      <c r="R114" s="54"/>
      <c r="S114" s="54"/>
      <c r="T114" s="54"/>
      <c r="U114" s="54"/>
      <c r="V114" s="54"/>
      <c r="W114" s="54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2:46" ht="14.25">
      <c r="B115" s="28" t="s">
        <v>143</v>
      </c>
      <c r="C115" s="22" t="s">
        <v>157</v>
      </c>
      <c r="D115" s="26" t="s">
        <v>40</v>
      </c>
      <c r="F115" s="10">
        <f t="shared" si="24"/>
        <v>3</v>
      </c>
      <c r="G115" s="10">
        <f t="shared" si="25"/>
        <v>0</v>
      </c>
      <c r="H115" s="10">
        <f t="shared" si="26"/>
        <v>0</v>
      </c>
      <c r="I115" s="10">
        <f t="shared" si="27"/>
        <v>0</v>
      </c>
      <c r="J115" s="10">
        <f t="shared" si="28"/>
        <v>0</v>
      </c>
      <c r="K115" s="10">
        <f t="shared" si="29"/>
        <v>0</v>
      </c>
      <c r="L115" s="10">
        <f t="shared" si="30"/>
        <v>0</v>
      </c>
      <c r="M115" s="10">
        <f t="shared" si="31"/>
        <v>0</v>
      </c>
      <c r="O115" s="63" t="s">
        <v>2</v>
      </c>
      <c r="P115" s="63" t="s">
        <v>2</v>
      </c>
      <c r="Q115" s="63" t="s">
        <v>2</v>
      </c>
      <c r="R115" s="54"/>
      <c r="S115" s="54"/>
      <c r="T115" s="54"/>
      <c r="U115" s="54"/>
      <c r="V115" s="54"/>
      <c r="W115" s="63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2:46" ht="14.25">
      <c r="B116" s="28" t="s">
        <v>143</v>
      </c>
      <c r="C116" s="22" t="s">
        <v>158</v>
      </c>
      <c r="D116" s="26" t="s">
        <v>40</v>
      </c>
      <c r="F116" s="10">
        <f t="shared" si="24"/>
        <v>3</v>
      </c>
      <c r="G116" s="10">
        <f t="shared" si="25"/>
        <v>0</v>
      </c>
      <c r="H116" s="10">
        <f t="shared" si="26"/>
        <v>0</v>
      </c>
      <c r="I116" s="10">
        <f t="shared" si="27"/>
        <v>0</v>
      </c>
      <c r="J116" s="10">
        <f t="shared" si="28"/>
        <v>0</v>
      </c>
      <c r="K116" s="10">
        <f t="shared" si="29"/>
        <v>0</v>
      </c>
      <c r="L116" s="10">
        <f t="shared" si="30"/>
        <v>0</v>
      </c>
      <c r="M116" s="10">
        <f t="shared" si="31"/>
        <v>0</v>
      </c>
      <c r="O116" s="54" t="s">
        <v>2</v>
      </c>
      <c r="P116" s="54" t="s">
        <v>2</v>
      </c>
      <c r="Q116" s="54" t="s">
        <v>2</v>
      </c>
      <c r="R116" s="54"/>
      <c r="S116" s="54"/>
      <c r="T116" s="54"/>
      <c r="U116" s="54"/>
      <c r="V116" s="54"/>
      <c r="W116" s="54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2:46" ht="14.25" hidden="1">
      <c r="B117" s="28" t="s">
        <v>97</v>
      </c>
      <c r="C117" s="22" t="s">
        <v>73</v>
      </c>
      <c r="D117" s="26" t="s">
        <v>49</v>
      </c>
      <c r="F117" s="10">
        <f t="shared" si="24"/>
        <v>2</v>
      </c>
      <c r="G117" s="10">
        <f t="shared" si="25"/>
        <v>0</v>
      </c>
      <c r="H117" s="10">
        <f t="shared" si="26"/>
        <v>0</v>
      </c>
      <c r="I117" s="10">
        <f t="shared" si="27"/>
        <v>0</v>
      </c>
      <c r="J117" s="10">
        <f t="shared" si="28"/>
        <v>0</v>
      </c>
      <c r="K117" s="10">
        <f t="shared" si="29"/>
        <v>0</v>
      </c>
      <c r="L117" s="10">
        <f t="shared" si="30"/>
        <v>0</v>
      </c>
      <c r="M117" s="10">
        <f t="shared" si="31"/>
        <v>0</v>
      </c>
      <c r="O117" s="54" t="s">
        <v>2</v>
      </c>
      <c r="P117" s="54" t="s">
        <v>2</v>
      </c>
      <c r="Q117" s="54"/>
      <c r="R117" s="54"/>
      <c r="S117" s="54"/>
      <c r="T117" s="54"/>
      <c r="U117" s="54"/>
      <c r="V117" s="54"/>
      <c r="W117" s="54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2:46" ht="14.25" hidden="1">
      <c r="B118" s="28" t="s">
        <v>97</v>
      </c>
      <c r="C118" s="22" t="s">
        <v>43</v>
      </c>
      <c r="D118" s="26" t="s">
        <v>49</v>
      </c>
      <c r="F118" s="10">
        <f t="shared" si="24"/>
        <v>2</v>
      </c>
      <c r="G118" s="10">
        <f t="shared" si="25"/>
        <v>0</v>
      </c>
      <c r="H118" s="10">
        <f t="shared" si="26"/>
        <v>0</v>
      </c>
      <c r="I118" s="10">
        <f t="shared" si="27"/>
        <v>0</v>
      </c>
      <c r="J118" s="10">
        <f t="shared" si="28"/>
        <v>0</v>
      </c>
      <c r="K118" s="10">
        <f t="shared" si="29"/>
        <v>0</v>
      </c>
      <c r="L118" s="10">
        <f t="shared" si="30"/>
        <v>0</v>
      </c>
      <c r="M118" s="10">
        <f t="shared" si="31"/>
        <v>0</v>
      </c>
      <c r="O118" s="54" t="s">
        <v>2</v>
      </c>
      <c r="P118" s="54" t="s">
        <v>2</v>
      </c>
      <c r="Q118" s="54"/>
      <c r="R118" s="54"/>
      <c r="S118" s="54"/>
      <c r="T118" s="54"/>
      <c r="U118" s="54"/>
      <c r="V118" s="54"/>
      <c r="W118" s="54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2:46" s="25" customFormat="1">
      <c r="F119" s="27">
        <f t="shared" ref="F119:M119" si="32">SUM(F6:F118)</f>
        <v>219</v>
      </c>
      <c r="G119" s="27">
        <f t="shared" si="32"/>
        <v>0</v>
      </c>
      <c r="H119" s="27">
        <f t="shared" si="32"/>
        <v>1</v>
      </c>
      <c r="I119" s="27">
        <f t="shared" si="32"/>
        <v>6</v>
      </c>
      <c r="J119" s="27">
        <f t="shared" si="32"/>
        <v>3</v>
      </c>
      <c r="K119" s="27">
        <f t="shared" si="32"/>
        <v>1</v>
      </c>
      <c r="L119" s="27">
        <f t="shared" si="32"/>
        <v>2</v>
      </c>
      <c r="M119" s="27">
        <f t="shared" si="32"/>
        <v>1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1" spans="2:46">
      <c r="O121" s="3">
        <f t="shared" ref="O121:AQ121" si="33">O5</f>
        <v>46204</v>
      </c>
      <c r="P121" s="3">
        <f t="shared" si="33"/>
        <v>46205</v>
      </c>
      <c r="Q121" s="3">
        <f t="shared" si="33"/>
        <v>46206</v>
      </c>
      <c r="R121" s="3">
        <f t="shared" si="33"/>
        <v>46207</v>
      </c>
      <c r="S121" s="3">
        <f t="shared" si="33"/>
        <v>46208</v>
      </c>
      <c r="T121" s="3">
        <f t="shared" si="33"/>
        <v>46209</v>
      </c>
      <c r="U121" s="3">
        <f t="shared" si="33"/>
        <v>46210</v>
      </c>
      <c r="V121" s="3">
        <f t="shared" si="33"/>
        <v>46211</v>
      </c>
      <c r="W121" s="3">
        <f t="shared" si="33"/>
        <v>46212</v>
      </c>
      <c r="X121" s="3">
        <f t="shared" si="33"/>
        <v>46213</v>
      </c>
      <c r="Y121" s="3">
        <f t="shared" si="33"/>
        <v>46214</v>
      </c>
      <c r="Z121" s="3">
        <f t="shared" si="33"/>
        <v>46215</v>
      </c>
      <c r="AA121" s="3">
        <f t="shared" si="33"/>
        <v>46216</v>
      </c>
      <c r="AB121" s="3">
        <f t="shared" si="33"/>
        <v>46217</v>
      </c>
      <c r="AC121" s="3">
        <f t="shared" si="33"/>
        <v>46218</v>
      </c>
      <c r="AD121" s="3">
        <f t="shared" si="33"/>
        <v>46219</v>
      </c>
      <c r="AE121" s="3">
        <f t="shared" si="33"/>
        <v>46220</v>
      </c>
      <c r="AF121" s="3">
        <f t="shared" si="33"/>
        <v>46221</v>
      </c>
      <c r="AG121" s="3">
        <f t="shared" si="33"/>
        <v>46222</v>
      </c>
      <c r="AH121" s="3">
        <f t="shared" si="33"/>
        <v>46223</v>
      </c>
      <c r="AI121" s="3">
        <f t="shared" si="33"/>
        <v>46224</v>
      </c>
      <c r="AJ121" s="3">
        <f t="shared" si="33"/>
        <v>46225</v>
      </c>
      <c r="AK121" s="3">
        <f t="shared" si="33"/>
        <v>46226</v>
      </c>
      <c r="AL121" s="3">
        <f t="shared" si="33"/>
        <v>46227</v>
      </c>
      <c r="AM121" s="3">
        <f t="shared" si="33"/>
        <v>46228</v>
      </c>
      <c r="AN121" s="3">
        <f t="shared" si="33"/>
        <v>46229</v>
      </c>
      <c r="AO121" s="3">
        <f t="shared" si="33"/>
        <v>46230</v>
      </c>
      <c r="AP121" s="3">
        <f t="shared" si="33"/>
        <v>46231</v>
      </c>
      <c r="AQ121" s="3">
        <f t="shared" si="33"/>
        <v>46232</v>
      </c>
      <c r="AR121" s="3">
        <v>46233</v>
      </c>
      <c r="AS121" s="3">
        <v>46234</v>
      </c>
    </row>
    <row r="122" spans="2:46">
      <c r="N122" s="2" t="s">
        <v>2</v>
      </c>
      <c r="O122" s="4">
        <f t="shared" ref="O122:AS122" si="34">COUNTIF(O6:O116,$N$122)</f>
        <v>101</v>
      </c>
      <c r="P122" s="4">
        <f t="shared" si="34"/>
        <v>102</v>
      </c>
      <c r="Q122" s="4">
        <f t="shared" si="34"/>
        <v>12</v>
      </c>
      <c r="R122" s="4">
        <f t="shared" si="34"/>
        <v>0</v>
      </c>
      <c r="S122" s="4">
        <f t="shared" si="34"/>
        <v>0</v>
      </c>
      <c r="T122" s="4">
        <f t="shared" si="34"/>
        <v>0</v>
      </c>
      <c r="U122" s="4">
        <f t="shared" si="34"/>
        <v>0</v>
      </c>
      <c r="V122" s="4">
        <f t="shared" si="34"/>
        <v>0</v>
      </c>
      <c r="W122" s="4">
        <f t="shared" si="34"/>
        <v>0</v>
      </c>
      <c r="X122" s="4">
        <f t="shared" si="34"/>
        <v>0</v>
      </c>
      <c r="Y122" s="4">
        <f t="shared" si="34"/>
        <v>0</v>
      </c>
      <c r="Z122" s="4">
        <f t="shared" si="34"/>
        <v>0</v>
      </c>
      <c r="AA122" s="4">
        <f t="shared" si="34"/>
        <v>0</v>
      </c>
      <c r="AB122" s="4">
        <f t="shared" si="34"/>
        <v>0</v>
      </c>
      <c r="AC122" s="4">
        <f t="shared" si="34"/>
        <v>0</v>
      </c>
      <c r="AD122" s="4">
        <f t="shared" si="34"/>
        <v>0</v>
      </c>
      <c r="AE122" s="4">
        <f t="shared" si="34"/>
        <v>0</v>
      </c>
      <c r="AF122" s="4">
        <f t="shared" si="34"/>
        <v>0</v>
      </c>
      <c r="AG122" s="4">
        <f t="shared" si="34"/>
        <v>0</v>
      </c>
      <c r="AH122" s="4">
        <f t="shared" si="34"/>
        <v>0</v>
      </c>
      <c r="AI122" s="4">
        <f t="shared" si="34"/>
        <v>0</v>
      </c>
      <c r="AJ122" s="4">
        <f t="shared" si="34"/>
        <v>0</v>
      </c>
      <c r="AK122" s="4">
        <f t="shared" si="34"/>
        <v>0</v>
      </c>
      <c r="AL122" s="4">
        <f t="shared" si="34"/>
        <v>0</v>
      </c>
      <c r="AM122" s="4">
        <f t="shared" si="34"/>
        <v>0</v>
      </c>
      <c r="AN122" s="4">
        <f t="shared" si="34"/>
        <v>0</v>
      </c>
      <c r="AO122" s="4">
        <f t="shared" si="34"/>
        <v>0</v>
      </c>
      <c r="AP122" s="4">
        <f t="shared" si="34"/>
        <v>0</v>
      </c>
      <c r="AQ122" s="4">
        <f t="shared" si="34"/>
        <v>0</v>
      </c>
      <c r="AR122" s="4">
        <f t="shared" si="34"/>
        <v>0</v>
      </c>
      <c r="AS122" s="4">
        <f t="shared" si="34"/>
        <v>0</v>
      </c>
      <c r="AT122" s="1">
        <f t="shared" ref="AT122:AT129" si="35">SUM(O122:AS122)</f>
        <v>215</v>
      </c>
    </row>
    <row r="123" spans="2:46">
      <c r="N123" s="2" t="s">
        <v>3</v>
      </c>
      <c r="O123" s="4">
        <f t="shared" ref="O123:AQ123" si="36">COUNTIF(O6:O116,$N$123)</f>
        <v>0</v>
      </c>
      <c r="P123" s="4">
        <f t="shared" si="36"/>
        <v>0</v>
      </c>
      <c r="Q123" s="4">
        <f t="shared" si="36"/>
        <v>0</v>
      </c>
      <c r="R123" s="4">
        <f t="shared" si="36"/>
        <v>0</v>
      </c>
      <c r="S123" s="4">
        <f t="shared" si="36"/>
        <v>0</v>
      </c>
      <c r="T123" s="4">
        <f t="shared" si="36"/>
        <v>0</v>
      </c>
      <c r="U123" s="4">
        <f t="shared" si="36"/>
        <v>0</v>
      </c>
      <c r="V123" s="4">
        <f t="shared" si="36"/>
        <v>0</v>
      </c>
      <c r="W123" s="4">
        <f t="shared" si="36"/>
        <v>0</v>
      </c>
      <c r="X123" s="4">
        <f t="shared" si="36"/>
        <v>0</v>
      </c>
      <c r="Y123" s="4">
        <f t="shared" si="36"/>
        <v>0</v>
      </c>
      <c r="Z123" s="4">
        <f t="shared" si="36"/>
        <v>0</v>
      </c>
      <c r="AA123" s="4">
        <f t="shared" si="36"/>
        <v>0</v>
      </c>
      <c r="AB123" s="4">
        <f t="shared" si="36"/>
        <v>0</v>
      </c>
      <c r="AC123" s="4">
        <f t="shared" si="36"/>
        <v>0</v>
      </c>
      <c r="AD123" s="4">
        <f t="shared" si="36"/>
        <v>0</v>
      </c>
      <c r="AE123" s="4">
        <f t="shared" si="36"/>
        <v>0</v>
      </c>
      <c r="AF123" s="4">
        <f t="shared" si="36"/>
        <v>0</v>
      </c>
      <c r="AG123" s="4">
        <f t="shared" si="36"/>
        <v>0</v>
      </c>
      <c r="AH123" s="4">
        <f t="shared" si="36"/>
        <v>0</v>
      </c>
      <c r="AI123" s="4">
        <f t="shared" si="36"/>
        <v>0</v>
      </c>
      <c r="AJ123" s="4">
        <f t="shared" si="36"/>
        <v>0</v>
      </c>
      <c r="AK123" s="4">
        <f t="shared" si="36"/>
        <v>0</v>
      </c>
      <c r="AL123" s="4">
        <f t="shared" si="36"/>
        <v>0</v>
      </c>
      <c r="AM123" s="4">
        <f t="shared" si="36"/>
        <v>0</v>
      </c>
      <c r="AN123" s="4">
        <f t="shared" si="36"/>
        <v>0</v>
      </c>
      <c r="AO123" s="4">
        <f t="shared" si="36"/>
        <v>0</v>
      </c>
      <c r="AP123" s="4">
        <f t="shared" si="36"/>
        <v>0</v>
      </c>
      <c r="AQ123" s="4">
        <f t="shared" si="36"/>
        <v>0</v>
      </c>
      <c r="AR123" s="4"/>
      <c r="AS123" s="4"/>
      <c r="AT123" s="1">
        <f t="shared" si="35"/>
        <v>0</v>
      </c>
    </row>
    <row r="124" spans="2:46">
      <c r="N124" s="2" t="s">
        <v>4</v>
      </c>
      <c r="O124" s="6">
        <f t="shared" ref="O124:AQ124" si="37">COUNTIF(O6:O116,$N$124)</f>
        <v>0</v>
      </c>
      <c r="P124" s="6">
        <f t="shared" si="37"/>
        <v>0</v>
      </c>
      <c r="Q124" s="6">
        <f t="shared" si="37"/>
        <v>1</v>
      </c>
      <c r="R124" s="6">
        <f t="shared" si="37"/>
        <v>0</v>
      </c>
      <c r="S124" s="6">
        <f t="shared" si="37"/>
        <v>0</v>
      </c>
      <c r="T124" s="6">
        <f t="shared" si="37"/>
        <v>0</v>
      </c>
      <c r="U124" s="6">
        <f t="shared" si="37"/>
        <v>0</v>
      </c>
      <c r="V124" s="6">
        <f t="shared" si="37"/>
        <v>0</v>
      </c>
      <c r="W124" s="6">
        <f t="shared" si="37"/>
        <v>0</v>
      </c>
      <c r="X124" s="6">
        <f t="shared" si="37"/>
        <v>0</v>
      </c>
      <c r="Y124" s="6">
        <f t="shared" si="37"/>
        <v>0</v>
      </c>
      <c r="Z124" s="6">
        <f t="shared" si="37"/>
        <v>0</v>
      </c>
      <c r="AA124" s="6">
        <f t="shared" si="37"/>
        <v>0</v>
      </c>
      <c r="AB124" s="6">
        <f t="shared" si="37"/>
        <v>0</v>
      </c>
      <c r="AC124" s="6">
        <f t="shared" si="37"/>
        <v>0</v>
      </c>
      <c r="AD124" s="6">
        <f t="shared" si="37"/>
        <v>0</v>
      </c>
      <c r="AE124" s="6">
        <f t="shared" si="37"/>
        <v>0</v>
      </c>
      <c r="AF124" s="6">
        <f t="shared" si="37"/>
        <v>0</v>
      </c>
      <c r="AG124" s="6">
        <f t="shared" si="37"/>
        <v>0</v>
      </c>
      <c r="AH124" s="6">
        <f t="shared" si="37"/>
        <v>0</v>
      </c>
      <c r="AI124" s="6">
        <f t="shared" si="37"/>
        <v>0</v>
      </c>
      <c r="AJ124" s="6">
        <f t="shared" si="37"/>
        <v>0</v>
      </c>
      <c r="AK124" s="6">
        <f t="shared" si="37"/>
        <v>0</v>
      </c>
      <c r="AL124" s="6">
        <f t="shared" si="37"/>
        <v>0</v>
      </c>
      <c r="AM124" s="6">
        <f t="shared" si="37"/>
        <v>0</v>
      </c>
      <c r="AN124" s="6">
        <f t="shared" si="37"/>
        <v>0</v>
      </c>
      <c r="AO124" s="6">
        <f t="shared" si="37"/>
        <v>0</v>
      </c>
      <c r="AP124" s="6">
        <f t="shared" si="37"/>
        <v>0</v>
      </c>
      <c r="AQ124" s="6">
        <f t="shared" si="37"/>
        <v>0</v>
      </c>
      <c r="AR124" s="6"/>
      <c r="AS124" s="6"/>
      <c r="AT124" s="1">
        <f t="shared" si="35"/>
        <v>1</v>
      </c>
    </row>
    <row r="125" spans="2:46">
      <c r="N125" s="2" t="s">
        <v>5</v>
      </c>
      <c r="O125" s="6">
        <f t="shared" ref="O125:AQ125" si="38">COUNTIF(O6:O116,$N$125)</f>
        <v>3</v>
      </c>
      <c r="P125" s="6">
        <f t="shared" si="38"/>
        <v>3</v>
      </c>
      <c r="Q125" s="6">
        <f t="shared" si="38"/>
        <v>0</v>
      </c>
      <c r="R125" s="6">
        <f t="shared" si="38"/>
        <v>0</v>
      </c>
      <c r="S125" s="6">
        <f t="shared" si="38"/>
        <v>0</v>
      </c>
      <c r="T125" s="6">
        <f t="shared" si="38"/>
        <v>0</v>
      </c>
      <c r="U125" s="6">
        <f t="shared" si="38"/>
        <v>0</v>
      </c>
      <c r="V125" s="6">
        <f t="shared" si="38"/>
        <v>0</v>
      </c>
      <c r="W125" s="6">
        <f t="shared" si="38"/>
        <v>0</v>
      </c>
      <c r="X125" s="6">
        <f t="shared" si="38"/>
        <v>0</v>
      </c>
      <c r="Y125" s="6">
        <f t="shared" si="38"/>
        <v>0</v>
      </c>
      <c r="Z125" s="6">
        <f t="shared" si="38"/>
        <v>0</v>
      </c>
      <c r="AA125" s="6">
        <f t="shared" si="38"/>
        <v>0</v>
      </c>
      <c r="AB125" s="6">
        <f t="shared" si="38"/>
        <v>0</v>
      </c>
      <c r="AC125" s="6">
        <f t="shared" si="38"/>
        <v>0</v>
      </c>
      <c r="AD125" s="6">
        <f t="shared" si="38"/>
        <v>0</v>
      </c>
      <c r="AE125" s="6">
        <f t="shared" si="38"/>
        <v>0</v>
      </c>
      <c r="AF125" s="6">
        <f t="shared" si="38"/>
        <v>0</v>
      </c>
      <c r="AG125" s="6">
        <f t="shared" si="38"/>
        <v>0</v>
      </c>
      <c r="AH125" s="6">
        <f t="shared" si="38"/>
        <v>0</v>
      </c>
      <c r="AI125" s="6">
        <f t="shared" si="38"/>
        <v>0</v>
      </c>
      <c r="AJ125" s="6">
        <f t="shared" si="38"/>
        <v>0</v>
      </c>
      <c r="AK125" s="6">
        <f t="shared" si="38"/>
        <v>0</v>
      </c>
      <c r="AL125" s="6">
        <f t="shared" si="38"/>
        <v>0</v>
      </c>
      <c r="AM125" s="6">
        <f t="shared" si="38"/>
        <v>0</v>
      </c>
      <c r="AN125" s="6">
        <f t="shared" si="38"/>
        <v>0</v>
      </c>
      <c r="AO125" s="6">
        <f t="shared" si="38"/>
        <v>0</v>
      </c>
      <c r="AP125" s="6">
        <f t="shared" si="38"/>
        <v>0</v>
      </c>
      <c r="AQ125" s="6">
        <f t="shared" si="38"/>
        <v>0</v>
      </c>
      <c r="AR125" s="6"/>
      <c r="AS125" s="6"/>
      <c r="AT125" s="1">
        <f t="shared" si="35"/>
        <v>6</v>
      </c>
    </row>
    <row r="126" spans="2:46">
      <c r="N126" s="23" t="s">
        <v>6</v>
      </c>
      <c r="O126" s="7">
        <f t="shared" ref="O126:AQ126" si="39">COUNTIF(O6:O116,$N$126)</f>
        <v>1</v>
      </c>
      <c r="P126" s="7">
        <f t="shared" si="39"/>
        <v>1</v>
      </c>
      <c r="Q126" s="7">
        <f t="shared" si="39"/>
        <v>1</v>
      </c>
      <c r="R126" s="7">
        <f t="shared" si="39"/>
        <v>0</v>
      </c>
      <c r="S126" s="7">
        <f t="shared" si="39"/>
        <v>0</v>
      </c>
      <c r="T126" s="7">
        <f t="shared" si="39"/>
        <v>0</v>
      </c>
      <c r="U126" s="7">
        <f t="shared" si="39"/>
        <v>0</v>
      </c>
      <c r="V126" s="7">
        <f t="shared" si="39"/>
        <v>0</v>
      </c>
      <c r="W126" s="7">
        <f t="shared" si="39"/>
        <v>0</v>
      </c>
      <c r="X126" s="7">
        <f t="shared" si="39"/>
        <v>0</v>
      </c>
      <c r="Y126" s="7">
        <f t="shared" si="39"/>
        <v>0</v>
      </c>
      <c r="Z126" s="7">
        <f t="shared" si="39"/>
        <v>0</v>
      </c>
      <c r="AA126" s="7">
        <f t="shared" si="39"/>
        <v>0</v>
      </c>
      <c r="AB126" s="7">
        <f t="shared" si="39"/>
        <v>0</v>
      </c>
      <c r="AC126" s="7">
        <f t="shared" si="39"/>
        <v>0</v>
      </c>
      <c r="AD126" s="7">
        <f t="shared" si="39"/>
        <v>0</v>
      </c>
      <c r="AE126" s="7">
        <f t="shared" si="39"/>
        <v>0</v>
      </c>
      <c r="AF126" s="7">
        <f t="shared" si="39"/>
        <v>0</v>
      </c>
      <c r="AG126" s="7">
        <f t="shared" si="39"/>
        <v>0</v>
      </c>
      <c r="AH126" s="7">
        <f t="shared" si="39"/>
        <v>0</v>
      </c>
      <c r="AI126" s="7">
        <f t="shared" si="39"/>
        <v>0</v>
      </c>
      <c r="AJ126" s="7">
        <f t="shared" si="39"/>
        <v>0</v>
      </c>
      <c r="AK126" s="7">
        <f t="shared" si="39"/>
        <v>0</v>
      </c>
      <c r="AL126" s="7">
        <f t="shared" si="39"/>
        <v>0</v>
      </c>
      <c r="AM126" s="7">
        <f t="shared" si="39"/>
        <v>0</v>
      </c>
      <c r="AN126" s="7">
        <f t="shared" si="39"/>
        <v>0</v>
      </c>
      <c r="AO126" s="7">
        <f t="shared" si="39"/>
        <v>0</v>
      </c>
      <c r="AP126" s="7">
        <f t="shared" si="39"/>
        <v>0</v>
      </c>
      <c r="AQ126" s="7">
        <f t="shared" si="39"/>
        <v>0</v>
      </c>
      <c r="AR126" s="7"/>
      <c r="AS126" s="7"/>
      <c r="AT126" s="1">
        <f t="shared" si="35"/>
        <v>3</v>
      </c>
    </row>
    <row r="127" spans="2:46">
      <c r="N127" s="8" t="s">
        <v>7</v>
      </c>
      <c r="O127" s="4">
        <f t="shared" ref="O127:AQ127" si="40">COUNTIF(O6:O116,$N$127)</f>
        <v>0</v>
      </c>
      <c r="P127" s="4">
        <f t="shared" si="40"/>
        <v>0</v>
      </c>
      <c r="Q127" s="4">
        <f t="shared" si="40"/>
        <v>1</v>
      </c>
      <c r="R127" s="4">
        <f t="shared" si="40"/>
        <v>0</v>
      </c>
      <c r="S127" s="4">
        <f t="shared" si="40"/>
        <v>0</v>
      </c>
      <c r="T127" s="4">
        <f t="shared" si="40"/>
        <v>0</v>
      </c>
      <c r="U127" s="4">
        <f t="shared" si="40"/>
        <v>0</v>
      </c>
      <c r="V127" s="4">
        <f t="shared" si="40"/>
        <v>0</v>
      </c>
      <c r="W127" s="4">
        <f t="shared" si="40"/>
        <v>0</v>
      </c>
      <c r="X127" s="4">
        <f t="shared" si="40"/>
        <v>0</v>
      </c>
      <c r="Y127" s="4">
        <f t="shared" si="40"/>
        <v>0</v>
      </c>
      <c r="Z127" s="4">
        <f t="shared" si="40"/>
        <v>0</v>
      </c>
      <c r="AA127" s="4">
        <f t="shared" si="40"/>
        <v>0</v>
      </c>
      <c r="AB127" s="4">
        <f t="shared" si="40"/>
        <v>0</v>
      </c>
      <c r="AC127" s="4">
        <f t="shared" si="40"/>
        <v>0</v>
      </c>
      <c r="AD127" s="4">
        <f t="shared" si="40"/>
        <v>0</v>
      </c>
      <c r="AE127" s="4">
        <f t="shared" si="40"/>
        <v>0</v>
      </c>
      <c r="AF127" s="4">
        <f t="shared" si="40"/>
        <v>0</v>
      </c>
      <c r="AG127" s="4">
        <f t="shared" si="40"/>
        <v>0</v>
      </c>
      <c r="AH127" s="4">
        <f t="shared" si="40"/>
        <v>0</v>
      </c>
      <c r="AI127" s="4">
        <f t="shared" si="40"/>
        <v>0</v>
      </c>
      <c r="AJ127" s="4">
        <f t="shared" si="40"/>
        <v>0</v>
      </c>
      <c r="AK127" s="4">
        <f t="shared" si="40"/>
        <v>0</v>
      </c>
      <c r="AL127" s="4">
        <f t="shared" si="40"/>
        <v>0</v>
      </c>
      <c r="AM127" s="4">
        <f t="shared" si="40"/>
        <v>0</v>
      </c>
      <c r="AN127" s="4">
        <f t="shared" si="40"/>
        <v>0</v>
      </c>
      <c r="AO127" s="4">
        <f t="shared" si="40"/>
        <v>0</v>
      </c>
      <c r="AP127" s="4">
        <f t="shared" si="40"/>
        <v>0</v>
      </c>
      <c r="AQ127" s="4">
        <f t="shared" si="40"/>
        <v>0</v>
      </c>
      <c r="AR127" s="4"/>
      <c r="AS127" s="4"/>
      <c r="AT127" s="1">
        <f t="shared" si="35"/>
        <v>1</v>
      </c>
    </row>
    <row r="128" spans="2:46">
      <c r="N128" s="56" t="s">
        <v>8</v>
      </c>
      <c r="O128" s="4">
        <f>COUNTIF(O6:O118,$N$127)</f>
        <v>0</v>
      </c>
      <c r="P128" s="4">
        <f t="shared" ref="P128:AQ128" si="41">COUNTIF(P6:P116,$N$127)</f>
        <v>0</v>
      </c>
      <c r="Q128" s="4">
        <f t="shared" si="41"/>
        <v>1</v>
      </c>
      <c r="R128" s="4">
        <f t="shared" si="41"/>
        <v>0</v>
      </c>
      <c r="S128" s="4">
        <f t="shared" si="41"/>
        <v>0</v>
      </c>
      <c r="T128" s="4">
        <f t="shared" si="41"/>
        <v>0</v>
      </c>
      <c r="U128" s="4">
        <f t="shared" si="41"/>
        <v>0</v>
      </c>
      <c r="V128" s="4">
        <f t="shared" si="41"/>
        <v>0</v>
      </c>
      <c r="W128" s="4">
        <f t="shared" si="41"/>
        <v>0</v>
      </c>
      <c r="X128" s="4">
        <f t="shared" si="41"/>
        <v>0</v>
      </c>
      <c r="Y128" s="4">
        <f t="shared" si="41"/>
        <v>0</v>
      </c>
      <c r="Z128" s="4">
        <f t="shared" si="41"/>
        <v>0</v>
      </c>
      <c r="AA128" s="4">
        <f t="shared" si="41"/>
        <v>0</v>
      </c>
      <c r="AB128" s="4">
        <f t="shared" si="41"/>
        <v>0</v>
      </c>
      <c r="AC128" s="4">
        <f t="shared" si="41"/>
        <v>0</v>
      </c>
      <c r="AD128" s="4">
        <f t="shared" si="41"/>
        <v>0</v>
      </c>
      <c r="AE128" s="4">
        <f t="shared" si="41"/>
        <v>0</v>
      </c>
      <c r="AF128" s="4">
        <f t="shared" si="41"/>
        <v>0</v>
      </c>
      <c r="AG128" s="4">
        <f t="shared" si="41"/>
        <v>0</v>
      </c>
      <c r="AH128" s="4">
        <f t="shared" si="41"/>
        <v>0</v>
      </c>
      <c r="AI128" s="4">
        <f t="shared" si="41"/>
        <v>0</v>
      </c>
      <c r="AJ128" s="4">
        <f t="shared" si="41"/>
        <v>0</v>
      </c>
      <c r="AK128" s="4">
        <f t="shared" si="41"/>
        <v>0</v>
      </c>
      <c r="AL128" s="4">
        <f t="shared" si="41"/>
        <v>0</v>
      </c>
      <c r="AM128" s="4">
        <f t="shared" si="41"/>
        <v>0</v>
      </c>
      <c r="AN128" s="4">
        <f t="shared" si="41"/>
        <v>0</v>
      </c>
      <c r="AO128" s="4">
        <f t="shared" si="41"/>
        <v>0</v>
      </c>
      <c r="AP128" s="4">
        <f t="shared" si="41"/>
        <v>0</v>
      </c>
      <c r="AQ128" s="4">
        <f t="shared" si="41"/>
        <v>0</v>
      </c>
      <c r="AR128" s="4"/>
      <c r="AS128" s="4"/>
      <c r="AT128" s="1">
        <f t="shared" si="35"/>
        <v>1</v>
      </c>
    </row>
    <row r="129" spans="2:46">
      <c r="N129" s="59" t="s">
        <v>9</v>
      </c>
      <c r="O129" s="4">
        <f>COUNTIF(O6:O118,$N$127)</f>
        <v>0</v>
      </c>
      <c r="P129" s="4">
        <f t="shared" ref="P129:AQ129" si="42">COUNTIF(P6:P116,$N$127)</f>
        <v>0</v>
      </c>
      <c r="Q129" s="4">
        <f t="shared" si="42"/>
        <v>1</v>
      </c>
      <c r="R129" s="4">
        <f t="shared" si="42"/>
        <v>0</v>
      </c>
      <c r="S129" s="4">
        <f t="shared" si="42"/>
        <v>0</v>
      </c>
      <c r="T129" s="4">
        <f t="shared" si="42"/>
        <v>0</v>
      </c>
      <c r="U129" s="4">
        <f t="shared" si="42"/>
        <v>0</v>
      </c>
      <c r="V129" s="4">
        <f t="shared" si="42"/>
        <v>0</v>
      </c>
      <c r="W129" s="4">
        <f t="shared" si="42"/>
        <v>0</v>
      </c>
      <c r="X129" s="4">
        <f t="shared" si="42"/>
        <v>0</v>
      </c>
      <c r="Y129" s="4">
        <f t="shared" si="42"/>
        <v>0</v>
      </c>
      <c r="Z129" s="4">
        <f t="shared" si="42"/>
        <v>0</v>
      </c>
      <c r="AA129" s="4">
        <f t="shared" si="42"/>
        <v>0</v>
      </c>
      <c r="AB129" s="4">
        <f t="shared" si="42"/>
        <v>0</v>
      </c>
      <c r="AC129" s="4">
        <f t="shared" si="42"/>
        <v>0</v>
      </c>
      <c r="AD129" s="4">
        <f t="shared" si="42"/>
        <v>0</v>
      </c>
      <c r="AE129" s="4">
        <f t="shared" si="42"/>
        <v>0</v>
      </c>
      <c r="AF129" s="4">
        <f t="shared" si="42"/>
        <v>0</v>
      </c>
      <c r="AG129" s="4">
        <f t="shared" si="42"/>
        <v>0</v>
      </c>
      <c r="AH129" s="4">
        <f t="shared" si="42"/>
        <v>0</v>
      </c>
      <c r="AI129" s="4">
        <f t="shared" si="42"/>
        <v>0</v>
      </c>
      <c r="AJ129" s="4">
        <f t="shared" si="42"/>
        <v>0</v>
      </c>
      <c r="AK129" s="4">
        <f t="shared" si="42"/>
        <v>0</v>
      </c>
      <c r="AL129" s="4">
        <f t="shared" si="42"/>
        <v>0</v>
      </c>
      <c r="AM129" s="4">
        <f t="shared" si="42"/>
        <v>0</v>
      </c>
      <c r="AN129" s="4">
        <f t="shared" si="42"/>
        <v>0</v>
      </c>
      <c r="AO129" s="4">
        <f t="shared" si="42"/>
        <v>0</v>
      </c>
      <c r="AP129" s="4">
        <f t="shared" si="42"/>
        <v>0</v>
      </c>
      <c r="AQ129" s="4">
        <f t="shared" si="42"/>
        <v>0</v>
      </c>
      <c r="AR129" s="4"/>
      <c r="AS129" s="4"/>
      <c r="AT129" s="1">
        <f t="shared" si="35"/>
        <v>1</v>
      </c>
    </row>
    <row r="142" spans="2:46">
      <c r="B142" s="16" t="s">
        <v>2</v>
      </c>
      <c r="C142" s="17" t="s">
        <v>160</v>
      </c>
    </row>
    <row r="143" spans="2:46">
      <c r="B143" s="16" t="s">
        <v>3</v>
      </c>
      <c r="C143" s="17" t="s">
        <v>161</v>
      </c>
    </row>
    <row r="144" spans="2:46">
      <c r="B144" s="16" t="s">
        <v>4</v>
      </c>
      <c r="C144" s="17" t="s">
        <v>162</v>
      </c>
    </row>
    <row r="145" spans="2:3">
      <c r="B145" s="16" t="s">
        <v>5</v>
      </c>
      <c r="C145" s="17" t="s">
        <v>163</v>
      </c>
    </row>
    <row r="146" spans="2:3">
      <c r="B146" s="18" t="s">
        <v>6</v>
      </c>
      <c r="C146" s="17" t="s">
        <v>164</v>
      </c>
    </row>
    <row r="147" spans="2:3">
      <c r="B147" s="19" t="s">
        <v>7</v>
      </c>
      <c r="C147" s="17" t="s">
        <v>165</v>
      </c>
    </row>
    <row r="148" spans="2:3">
      <c r="B148" s="57" t="s">
        <v>8</v>
      </c>
      <c r="C148" s="17" t="s">
        <v>166</v>
      </c>
    </row>
    <row r="149" spans="2:3">
      <c r="B149" s="50" t="s">
        <v>9</v>
      </c>
      <c r="C149" s="17" t="s">
        <v>167</v>
      </c>
    </row>
  </sheetData>
  <autoFilter ref="B5:D118" xr:uid="{69B130CD-51FD-4A9D-A3FA-27274C5473FD}">
    <filterColumn colId="0">
      <filters>
        <filter val="3º"/>
      </filters>
    </filterColumn>
    <sortState xmlns:xlrd2="http://schemas.microsoft.com/office/spreadsheetml/2017/richdata2" ref="B56:D99">
      <sortCondition ref="D5:D116"/>
    </sortState>
  </autoFilter>
  <mergeCells count="1">
    <mergeCell ref="B2:AS3"/>
  </mergeCells>
  <phoneticPr fontId="1" type="noConversion"/>
  <conditionalFormatting sqref="B142">
    <cfRule type="containsText" dxfId="333" priority="400" stopIfTrue="1" operator="containsText" text="P">
      <formula>NOT(ISERROR(SEARCH("P",B142)))</formula>
    </cfRule>
    <cfRule type="containsText" dxfId="332" priority="386" operator="containsText" text="FJ">
      <formula>NOT(ISERROR(SEARCH("FJ",B142)))</formula>
    </cfRule>
    <cfRule type="containsText" dxfId="331" priority="387" operator="containsText" text="AT">
      <formula>NOT(ISERROR(SEARCH("AT",B142)))</formula>
    </cfRule>
    <cfRule type="containsText" dxfId="330" priority="388" operator="containsText" text="FJ">
      <formula>NOT(ISERROR(SEARCH("FJ",B142)))</formula>
    </cfRule>
    <cfRule type="containsText" dxfId="329" priority="389" stopIfTrue="1" operator="containsText" text="A">
      <formula>NOT(ISERROR(SEARCH("A",B142)))</formula>
    </cfRule>
    <cfRule type="containsText" dxfId="328" priority="397" stopIfTrue="1" operator="containsText" text="F">
      <formula>NOT(ISERROR(SEARCH("F",B142)))</formula>
    </cfRule>
    <cfRule type="containsText" dxfId="327" priority="402" stopIfTrue="1" operator="containsText" text="F">
      <formula>NOT(ISERROR(SEARCH("F",B142)))</formula>
    </cfRule>
    <cfRule type="containsText" dxfId="326" priority="396" stopIfTrue="1" operator="containsText" text="A">
      <formula>NOT(ISERROR(SEARCH("A",B142)))</formula>
    </cfRule>
    <cfRule type="containsText" dxfId="325" priority="395" stopIfTrue="1" operator="containsText" text="F">
      <formula>NOT(ISERROR(SEARCH("F",B142)))</formula>
    </cfRule>
    <cfRule type="containsText" dxfId="324" priority="392" stopIfTrue="1" operator="containsText" text="S.A">
      <formula>NOT(ISERROR(SEARCH("S.A",B142)))</formula>
    </cfRule>
    <cfRule type="containsText" dxfId="323" priority="393" stopIfTrue="1" operator="containsText" text="P">
      <formula>NOT(ISERROR(SEARCH("P",B142)))</formula>
    </cfRule>
    <cfRule type="containsText" dxfId="322" priority="390" stopIfTrue="1" operator="containsText" text="F">
      <formula>NOT(ISERROR(SEARCH("F",B142)))</formula>
    </cfRule>
    <cfRule type="containsText" dxfId="321" priority="394" stopIfTrue="1" operator="containsText" text="FN">
      <formula>NOT(ISERROR(SEARCH("FN",B142)))</formula>
    </cfRule>
    <cfRule type="containsText" dxfId="320" priority="401" stopIfTrue="1" operator="containsText" text="FN">
      <formula>NOT(ISERROR(SEARCH("FN",B142)))</formula>
    </cfRule>
    <cfRule type="containsText" dxfId="319" priority="391" stopIfTrue="1" operator="containsText" text="BH">
      <formula>NOT(ISERROR(SEARCH("BH",B142)))</formula>
    </cfRule>
    <cfRule type="containsText" dxfId="318" priority="399" stopIfTrue="1" operator="containsText" text="S.A">
      <formula>NOT(ISERROR(SEARCH("S.A",B142)))</formula>
    </cfRule>
    <cfRule type="containsText" dxfId="317" priority="398" stopIfTrue="1" operator="containsText" text="BH">
      <formula>NOT(ISERROR(SEARCH("BH",B142)))</formula>
    </cfRule>
  </conditionalFormatting>
  <conditionalFormatting sqref="B143:B146">
    <cfRule type="containsText" dxfId="316" priority="430" stopIfTrue="1" operator="containsText" text="FN">
      <formula>NOT(ISERROR(SEARCH("FN",B143)))</formula>
    </cfRule>
    <cfRule type="containsText" dxfId="315" priority="431" stopIfTrue="1" operator="containsText" text="F">
      <formula>NOT(ISERROR(SEARCH("F",B143)))</formula>
    </cfRule>
    <cfRule type="containsText" dxfId="314" priority="429" stopIfTrue="1" operator="containsText" text="P">
      <formula>NOT(ISERROR(SEARCH("P",B143)))</formula>
    </cfRule>
    <cfRule type="containsText" dxfId="313" priority="428" stopIfTrue="1" operator="containsText" text="S.A">
      <formula>NOT(ISERROR(SEARCH("S.A",B143)))</formula>
    </cfRule>
    <cfRule type="containsText" dxfId="312" priority="427" stopIfTrue="1" operator="containsText" text="BH">
      <formula>NOT(ISERROR(SEARCH("BH",B143)))</formula>
    </cfRule>
  </conditionalFormatting>
  <conditionalFormatting sqref="B145">
    <cfRule type="containsText" dxfId="311" priority="410" stopIfTrue="1" operator="containsText" text="FN">
      <formula>NOT(ISERROR(SEARCH("FN",B145)))</formula>
    </cfRule>
    <cfRule type="containsText" dxfId="310" priority="409" stopIfTrue="1" operator="containsText" text="P">
      <formula>NOT(ISERROR(SEARCH("P",B145)))</formula>
    </cfRule>
    <cfRule type="containsText" dxfId="309" priority="408" stopIfTrue="1" operator="containsText" text="S.A">
      <formula>NOT(ISERROR(SEARCH("S.A",B145)))</formula>
    </cfRule>
    <cfRule type="containsText" dxfId="308" priority="407" stopIfTrue="1" operator="containsText" text="BH">
      <formula>NOT(ISERROR(SEARCH("BH",B145)))</formula>
    </cfRule>
    <cfRule type="containsText" dxfId="307" priority="406" stopIfTrue="1" operator="containsText" text="F">
      <formula>NOT(ISERROR(SEARCH("F",B145)))</formula>
    </cfRule>
    <cfRule type="containsText" dxfId="306" priority="405" stopIfTrue="1" operator="containsText" text="A">
      <formula>NOT(ISERROR(SEARCH("A",B145)))</formula>
    </cfRule>
    <cfRule type="containsText" dxfId="305" priority="404" operator="containsText" text="AT">
      <formula>NOT(ISERROR(SEARCH("AT",B145)))</formula>
    </cfRule>
    <cfRule type="containsText" dxfId="304" priority="403" operator="containsText" text="FJ">
      <formula>NOT(ISERROR(SEARCH("FJ",B145)))</formula>
    </cfRule>
    <cfRule type="containsText" dxfId="303" priority="418" stopIfTrue="1" operator="containsText" text="FN">
      <formula>NOT(ISERROR(SEARCH("FN",B145)))</formula>
    </cfRule>
    <cfRule type="containsText" dxfId="302" priority="417" stopIfTrue="1" operator="containsText" text="P">
      <formula>NOT(ISERROR(SEARCH("P",B145)))</formula>
    </cfRule>
    <cfRule type="containsText" dxfId="301" priority="416" stopIfTrue="1" operator="containsText" text="S.A">
      <formula>NOT(ISERROR(SEARCH("S.A",B145)))</formula>
    </cfRule>
    <cfRule type="containsText" dxfId="300" priority="415" stopIfTrue="1" operator="containsText" text="BH">
      <formula>NOT(ISERROR(SEARCH("BH",B145)))</formula>
    </cfRule>
    <cfRule type="containsText" dxfId="299" priority="414" stopIfTrue="1" operator="containsText" text="F">
      <formula>NOT(ISERROR(SEARCH("F",B145)))</formula>
    </cfRule>
    <cfRule type="containsText" dxfId="298" priority="413" stopIfTrue="1" operator="containsText" text="A">
      <formula>NOT(ISERROR(SEARCH("A",B145)))</formula>
    </cfRule>
    <cfRule type="containsText" dxfId="297" priority="419" stopIfTrue="1" operator="containsText" text="F">
      <formula>NOT(ISERROR(SEARCH("F",B145)))</formula>
    </cfRule>
    <cfRule type="containsText" dxfId="296" priority="421" stopIfTrue="1" operator="containsText" text="S.A">
      <formula>NOT(ISERROR(SEARCH("S.A",B145)))</formula>
    </cfRule>
    <cfRule type="containsText" dxfId="295" priority="422" stopIfTrue="1" operator="containsText" text="P">
      <formula>NOT(ISERROR(SEARCH("P",B145)))</formula>
    </cfRule>
    <cfRule type="containsText" dxfId="294" priority="420" stopIfTrue="1" operator="containsText" text="BH">
      <formula>NOT(ISERROR(SEARCH("BH",B145)))</formula>
    </cfRule>
    <cfRule type="containsText" dxfId="293" priority="412" operator="containsText" text="FJ">
      <formula>NOT(ISERROR(SEARCH("FJ",B145)))</formula>
    </cfRule>
    <cfRule type="containsText" dxfId="292" priority="411" stopIfTrue="1" operator="containsText" text="F">
      <formula>NOT(ISERROR(SEARCH("F",B145)))</formula>
    </cfRule>
    <cfRule type="containsText" dxfId="291" priority="426" stopIfTrue="1" operator="containsText" text="F">
      <formula>NOT(ISERROR(SEARCH("F",B145)))</formula>
    </cfRule>
    <cfRule type="containsText" dxfId="290" priority="425" stopIfTrue="1" operator="containsText" text="A">
      <formula>NOT(ISERROR(SEARCH("A",B145)))</formula>
    </cfRule>
    <cfRule type="containsText" dxfId="289" priority="424" stopIfTrue="1" operator="containsText" text="F">
      <formula>NOT(ISERROR(SEARCH("F",B145)))</formula>
    </cfRule>
    <cfRule type="containsText" dxfId="288" priority="423" stopIfTrue="1" operator="containsText" text="FN">
      <formula>NOT(ISERROR(SEARCH("FN",B145)))</formula>
    </cfRule>
  </conditionalFormatting>
  <conditionalFormatting sqref="B147">
    <cfRule type="cellIs" dxfId="287" priority="366" operator="equal">
      <formula>"BH"</formula>
    </cfRule>
    <cfRule type="cellIs" dxfId="286" priority="367" operator="equal">
      <formula>"P"</formula>
    </cfRule>
    <cfRule type="cellIs" dxfId="285" priority="362" operator="equal">
      <formula>"A"</formula>
    </cfRule>
    <cfRule type="cellIs" dxfId="284" priority="363" operator="equal">
      <formula>"F"</formula>
    </cfRule>
    <cfRule type="containsText" dxfId="283" priority="364" operator="containsText" text="A.">
      <formula>NOT(ISERROR(SEARCH("A.",B147)))</formula>
    </cfRule>
    <cfRule type="cellIs" dxfId="282" priority="365" operator="equal">
      <formula>"FN"</formula>
    </cfRule>
  </conditionalFormatting>
  <conditionalFormatting sqref="B149">
    <cfRule type="containsText" dxfId="281" priority="435" stopIfTrue="1" operator="containsText" text="S.A">
      <formula>NOT(ISERROR(SEARCH("S.A",B149)))</formula>
    </cfRule>
    <cfRule type="containsText" dxfId="280" priority="436" stopIfTrue="1" operator="containsText" text="P">
      <formula>NOT(ISERROR(SEARCH("P",B149)))</formula>
    </cfRule>
    <cfRule type="containsText" dxfId="279" priority="437" stopIfTrue="1" operator="containsText" text="FN">
      <formula>NOT(ISERROR(SEARCH("FN",B149)))</formula>
    </cfRule>
    <cfRule type="containsText" dxfId="278" priority="438" stopIfTrue="1" operator="containsText" text="F">
      <formula>NOT(ISERROR(SEARCH("F",B149)))</formula>
    </cfRule>
    <cfRule type="containsText" dxfId="277" priority="434" stopIfTrue="1" operator="containsText" text="BH">
      <formula>NOT(ISERROR(SEARCH("BH",B149)))</formula>
    </cfRule>
  </conditionalFormatting>
  <conditionalFormatting sqref="F5:J5">
    <cfRule type="containsText" dxfId="276" priority="385" stopIfTrue="1" operator="containsText" text="F">
      <formula>NOT(ISERROR(SEARCH("F",F5)))</formula>
    </cfRule>
    <cfRule type="containsText" dxfId="275" priority="384" stopIfTrue="1" operator="containsText" text="FN">
      <formula>NOT(ISERROR(SEARCH("FN",F5)))</formula>
    </cfRule>
    <cfRule type="containsText" dxfId="274" priority="383" stopIfTrue="1" operator="containsText" text="P">
      <formula>NOT(ISERROR(SEARCH("P",F5)))</formula>
    </cfRule>
    <cfRule type="containsText" dxfId="273" priority="382" stopIfTrue="1" operator="containsText" text="S.A">
      <formula>NOT(ISERROR(SEARCH("S.A",F5)))</formula>
    </cfRule>
    <cfRule type="containsText" dxfId="272" priority="381" stopIfTrue="1" operator="containsText" text="BH">
      <formula>NOT(ISERROR(SEARCH("BH",F5)))</formula>
    </cfRule>
  </conditionalFormatting>
  <conditionalFormatting sqref="I5">
    <cfRule type="containsText" dxfId="271" priority="377" stopIfTrue="1" operator="containsText" text="FN">
      <formula>NOT(ISERROR(SEARCH("FN",I5)))</formula>
    </cfRule>
    <cfRule type="containsText" dxfId="270" priority="376" stopIfTrue="1" operator="containsText" text="P">
      <formula>NOT(ISERROR(SEARCH("P",I5)))</formula>
    </cfRule>
    <cfRule type="containsText" dxfId="269" priority="375" stopIfTrue="1" operator="containsText" text="S.A">
      <formula>NOT(ISERROR(SEARCH("S.A",I5)))</formula>
    </cfRule>
    <cfRule type="containsText" dxfId="268" priority="374" stopIfTrue="1" operator="containsText" text="BH">
      <formula>NOT(ISERROR(SEARCH("BH",I5)))</formula>
    </cfRule>
    <cfRule type="containsText" dxfId="267" priority="373" operator="containsText" text="FJ">
      <formula>NOT(ISERROR(SEARCH("FJ",I5)))</formula>
    </cfRule>
    <cfRule type="containsText" dxfId="266" priority="380" stopIfTrue="1" operator="containsText" text="F">
      <formula>NOT(ISERROR(SEARCH("F",I5)))</formula>
    </cfRule>
    <cfRule type="containsText" dxfId="265" priority="378" stopIfTrue="1" operator="containsText" text="F">
      <formula>NOT(ISERROR(SEARCH("F",I5)))</formula>
    </cfRule>
    <cfRule type="containsText" dxfId="264" priority="379" stopIfTrue="1" operator="containsText" text="A">
      <formula>NOT(ISERROR(SEARCH("A",I5)))</formula>
    </cfRule>
  </conditionalFormatting>
  <conditionalFormatting sqref="K5">
    <cfRule type="cellIs" dxfId="263" priority="460" operator="equal">
      <formula>"P"</formula>
    </cfRule>
    <cfRule type="cellIs" dxfId="262" priority="455" operator="equal">
      <formula>"A"</formula>
    </cfRule>
    <cfRule type="cellIs" dxfId="261" priority="456" operator="equal">
      <formula>"F"</formula>
    </cfRule>
    <cfRule type="containsText" dxfId="260" priority="457" operator="containsText" text="A.">
      <formula>NOT(ISERROR(SEARCH("A.",K5)))</formula>
    </cfRule>
    <cfRule type="cellIs" dxfId="259" priority="458" operator="equal">
      <formula>"FN"</formula>
    </cfRule>
    <cfRule type="cellIs" dxfId="258" priority="459" operator="equal">
      <formula>"BH"</formula>
    </cfRule>
  </conditionalFormatting>
  <conditionalFormatting sqref="M5">
    <cfRule type="containsText" dxfId="257" priority="370" stopIfTrue="1" operator="containsText" text="P">
      <formula>NOT(ISERROR(SEARCH("P",M5)))</formula>
    </cfRule>
    <cfRule type="containsText" dxfId="256" priority="369" stopIfTrue="1" operator="containsText" text="S.A">
      <formula>NOT(ISERROR(SEARCH("S.A",M5)))</formula>
    </cfRule>
    <cfRule type="containsText" dxfId="255" priority="372" stopIfTrue="1" operator="containsText" text="F">
      <formula>NOT(ISERROR(SEARCH("F",M5)))</formula>
    </cfRule>
    <cfRule type="containsText" dxfId="254" priority="371" stopIfTrue="1" operator="containsText" text="FN">
      <formula>NOT(ISERROR(SEARCH("FN",M5)))</formula>
    </cfRule>
    <cfRule type="containsText" dxfId="253" priority="368" stopIfTrue="1" operator="containsText" text="BH">
      <formula>NOT(ISERROR(SEARCH("BH",M5)))</formula>
    </cfRule>
  </conditionalFormatting>
  <conditionalFormatting sqref="N122:N126">
    <cfRule type="containsText" dxfId="252" priority="443" stopIfTrue="1" operator="containsText" text="F">
      <formula>NOT(ISERROR(SEARCH("F",N122)))</formula>
    </cfRule>
    <cfRule type="containsText" dxfId="251" priority="442" stopIfTrue="1" operator="containsText" text="FN">
      <formula>NOT(ISERROR(SEARCH("FN",N122)))</formula>
    </cfRule>
    <cfRule type="containsText" dxfId="250" priority="441" stopIfTrue="1" operator="containsText" text="P">
      <formula>NOT(ISERROR(SEARCH("P",N122)))</formula>
    </cfRule>
    <cfRule type="containsText" dxfId="249" priority="440" stopIfTrue="1" operator="containsText" text="S.A">
      <formula>NOT(ISERROR(SEARCH("S.A",N122)))</formula>
    </cfRule>
    <cfRule type="containsText" dxfId="248" priority="439" stopIfTrue="1" operator="containsText" text="BH">
      <formula>NOT(ISERROR(SEARCH("BH",N122)))</formula>
    </cfRule>
  </conditionalFormatting>
  <conditionalFormatting sqref="N127">
    <cfRule type="cellIs" dxfId="247" priority="454" operator="equal">
      <formula>"P"</formula>
    </cfRule>
    <cfRule type="cellIs" dxfId="246" priority="453" operator="equal">
      <formula>"BH"</formula>
    </cfRule>
    <cfRule type="cellIs" dxfId="245" priority="452" operator="equal">
      <formula>"FN"</formula>
    </cfRule>
    <cfRule type="cellIs" dxfId="244" priority="450" operator="equal">
      <formula>"F"</formula>
    </cfRule>
    <cfRule type="cellIs" dxfId="243" priority="449" operator="equal">
      <formula>"A"</formula>
    </cfRule>
    <cfRule type="containsText" dxfId="242" priority="451" operator="containsText" text="A.">
      <formula>NOT(ISERROR(SEARCH("A.",N127)))</formula>
    </cfRule>
  </conditionalFormatting>
  <conditionalFormatting sqref="N129">
    <cfRule type="containsText" dxfId="241" priority="448" stopIfTrue="1" operator="containsText" text="F">
      <formula>NOT(ISERROR(SEARCH("F",N129)))</formula>
    </cfRule>
    <cfRule type="containsText" dxfId="240" priority="447" stopIfTrue="1" operator="containsText" text="FN">
      <formula>NOT(ISERROR(SEARCH("FN",N129)))</formula>
    </cfRule>
    <cfRule type="containsText" dxfId="239" priority="446" stopIfTrue="1" operator="containsText" text="P">
      <formula>NOT(ISERROR(SEARCH("P",N129)))</formula>
    </cfRule>
    <cfRule type="containsText" dxfId="238" priority="445" stopIfTrue="1" operator="containsText" text="S.A">
      <formula>NOT(ISERROR(SEARCH("S.A",N129)))</formula>
    </cfRule>
    <cfRule type="containsText" dxfId="237" priority="444" stopIfTrue="1" operator="containsText" text="BH">
      <formula>NOT(ISERROR(SEARCH("BH",N129)))</formula>
    </cfRule>
  </conditionalFormatting>
  <conditionalFormatting sqref="O6:O93 P50:P68 P69:Q69 O95:O102 O116:Q118">
    <cfRule type="containsText" dxfId="236" priority="1" stopIfTrue="1" operator="containsText" text="T">
      <formula>NOT(ISERROR(SEARCH("T",O6)))</formula>
    </cfRule>
    <cfRule type="containsText" dxfId="235" priority="2" stopIfTrue="1" operator="containsText" text="E">
      <formula>NOT(ISERROR(SEARCH("E",O6)))</formula>
    </cfRule>
  </conditionalFormatting>
  <conditionalFormatting sqref="O6:O93 P52:P68 P69:Q69 O95:O99 O116:Q118">
    <cfRule type="containsText" dxfId="234" priority="3" stopIfTrue="1" operator="containsText" text="P">
      <formula>NOT(ISERROR(SEARCH("P",O6)))</formula>
    </cfRule>
    <cfRule type="containsText" dxfId="233" priority="4" stopIfTrue="1" operator="containsText" text="FJ">
      <formula>NOT(ISERROR(SEARCH("FJ",O6)))</formula>
    </cfRule>
    <cfRule type="containsText" dxfId="232" priority="5" stopIfTrue="1" operator="containsText" text="A">
      <formula>NOT(ISERROR(SEARCH("A",O6)))</formula>
    </cfRule>
    <cfRule type="containsText" dxfId="231" priority="6" stopIfTrue="1" operator="containsText" text="BH">
      <formula>NOT(ISERROR(SEARCH("BH",O6)))</formula>
    </cfRule>
  </conditionalFormatting>
  <conditionalFormatting sqref="O19">
    <cfRule type="containsText" dxfId="230" priority="7" stopIfTrue="1" operator="containsText" text="S">
      <formula>NOT(ISERROR(SEARCH("S",O19)))</formula>
    </cfRule>
    <cfRule type="containsText" dxfId="229" priority="8" stopIfTrue="1" operator="containsText" text="FN">
      <formula>NOT(ISERROR(SEARCH("FN",O19)))</formula>
    </cfRule>
  </conditionalFormatting>
  <conditionalFormatting sqref="O94 O100:O102">
    <cfRule type="containsText" dxfId="228" priority="299" stopIfTrue="1" operator="containsText" text="FJ">
      <formula>NOT(ISERROR(SEARCH("FJ",O94)))</formula>
    </cfRule>
    <cfRule type="containsText" dxfId="227" priority="300" stopIfTrue="1" operator="containsText" text="A">
      <formula>NOT(ISERROR(SEARCH("A",O94)))</formula>
    </cfRule>
    <cfRule type="containsText" dxfId="226" priority="301" stopIfTrue="1" operator="containsText" text="BH">
      <formula>NOT(ISERROR(SEARCH("BH",O94)))</formula>
    </cfRule>
    <cfRule type="containsText" dxfId="225" priority="302" stopIfTrue="1" operator="containsText" text="S">
      <formula>NOT(ISERROR(SEARCH("S",O94)))</formula>
    </cfRule>
    <cfRule type="containsText" dxfId="224" priority="303" stopIfTrue="1" operator="containsText" text="FN">
      <formula>NOT(ISERROR(SEARCH("FN",O94)))</formula>
    </cfRule>
  </conditionalFormatting>
  <conditionalFormatting sqref="O94">
    <cfRule type="containsText" dxfId="223" priority="298" stopIfTrue="1" operator="containsText" text="P">
      <formula>NOT(ISERROR(SEARCH("P",O94)))</formula>
    </cfRule>
  </conditionalFormatting>
  <conditionalFormatting sqref="O100:O103">
    <cfRule type="containsText" dxfId="222" priority="148" stopIfTrue="1" operator="containsText" text="P">
      <formula>NOT(ISERROR(SEARCH("P",O100)))</formula>
    </cfRule>
  </conditionalFormatting>
  <conditionalFormatting sqref="O103">
    <cfRule type="containsText" dxfId="221" priority="149" stopIfTrue="1" operator="containsText" text="FN">
      <formula>NOT(ISERROR(SEARCH("FN",O103)))</formula>
    </cfRule>
    <cfRule type="containsText" dxfId="220" priority="150" stopIfTrue="1" operator="containsText" text="F">
      <formula>NOT(ISERROR(SEARCH("F",O103)))</formula>
    </cfRule>
    <cfRule type="containsText" dxfId="219" priority="146" stopIfTrue="1" operator="containsText" text="BH">
      <formula>NOT(ISERROR(SEARCH("BH",O103)))</formula>
    </cfRule>
    <cfRule type="containsText" dxfId="218" priority="147" stopIfTrue="1" operator="containsText" text="S.A">
      <formula>NOT(ISERROR(SEARCH("S.A",O103)))</formula>
    </cfRule>
  </conditionalFormatting>
  <conditionalFormatting sqref="O104:O107">
    <cfRule type="containsText" dxfId="217" priority="292" stopIfTrue="1" operator="containsText" text="A">
      <formula>NOT(ISERROR(SEARCH("A",O104)))</formula>
    </cfRule>
    <cfRule type="containsText" dxfId="216" priority="291" stopIfTrue="1" operator="containsText" text="FJ">
      <formula>NOT(ISERROR(SEARCH("FJ",O104)))</formula>
    </cfRule>
    <cfRule type="containsText" dxfId="215" priority="290" stopIfTrue="1" operator="containsText" text="P">
      <formula>NOT(ISERROR(SEARCH("P",O104)))</formula>
    </cfRule>
    <cfRule type="containsText" dxfId="214" priority="288" stopIfTrue="1" operator="containsText" text="T">
      <formula>NOT(ISERROR(SEARCH("T",O104)))</formula>
    </cfRule>
    <cfRule type="containsText" dxfId="213" priority="289" stopIfTrue="1" operator="containsText" text="E">
      <formula>NOT(ISERROR(SEARCH("E",O104)))</formula>
    </cfRule>
    <cfRule type="containsText" dxfId="212" priority="295" stopIfTrue="1" operator="containsText" text="FN">
      <formula>NOT(ISERROR(SEARCH("FN",O104)))</formula>
    </cfRule>
    <cfRule type="containsText" dxfId="211" priority="294" stopIfTrue="1" operator="containsText" text="S">
      <formula>NOT(ISERROR(SEARCH("S",O104)))</formula>
    </cfRule>
    <cfRule type="containsText" dxfId="210" priority="293" stopIfTrue="1" operator="containsText" text="BH">
      <formula>NOT(ISERROR(SEARCH("BH",O104)))</formula>
    </cfRule>
  </conditionalFormatting>
  <conditionalFormatting sqref="O108 O115">
    <cfRule type="cellIs" dxfId="209" priority="356" operator="equal">
      <formula>"P"</formula>
    </cfRule>
  </conditionalFormatting>
  <conditionalFormatting sqref="O108">
    <cfRule type="cellIs" dxfId="208" priority="355" operator="equal">
      <formula>"F"</formula>
    </cfRule>
    <cfRule type="cellIs" dxfId="207" priority="357" operator="equal">
      <formula>"A"</formula>
    </cfRule>
    <cfRule type="containsText" dxfId="206" priority="354" operator="containsText" text="FI">
      <formula>NOT(ISERROR(SEARCH("FI",O108)))</formula>
    </cfRule>
    <cfRule type="cellIs" dxfId="205" priority="328" operator="equal">
      <formula>"FN"</formula>
    </cfRule>
  </conditionalFormatting>
  <conditionalFormatting sqref="O109:O111 P110:W110 O113">
    <cfRule type="containsText" dxfId="204" priority="196" stopIfTrue="1" operator="containsText" text="E">
      <formula>NOT(ISERROR(SEARCH("E",O109)))</formula>
    </cfRule>
    <cfRule type="containsText" dxfId="203" priority="198" stopIfTrue="1" operator="containsText" text="FJ">
      <formula>NOT(ISERROR(SEARCH("FJ",O109)))</formula>
    </cfRule>
    <cfRule type="containsText" dxfId="202" priority="199" stopIfTrue="1" operator="containsText" text="A">
      <formula>NOT(ISERROR(SEARCH("A",O109)))</formula>
    </cfRule>
    <cfRule type="containsText" dxfId="201" priority="200" stopIfTrue="1" operator="containsText" text="BH">
      <formula>NOT(ISERROR(SEARCH("BH",O109)))</formula>
    </cfRule>
    <cfRule type="containsText" dxfId="200" priority="201" stopIfTrue="1" operator="containsText" text="S">
      <formula>NOT(ISERROR(SEARCH("S",O109)))</formula>
    </cfRule>
    <cfRule type="containsText" dxfId="199" priority="202" stopIfTrue="1" operator="containsText" text="FN">
      <formula>NOT(ISERROR(SEARCH("FN",O109)))</formula>
    </cfRule>
    <cfRule type="containsText" dxfId="198" priority="195" stopIfTrue="1" operator="containsText" text="T">
      <formula>NOT(ISERROR(SEARCH("T",O109)))</formula>
    </cfRule>
    <cfRule type="containsText" dxfId="197" priority="197" stopIfTrue="1" operator="containsText" text="P">
      <formula>NOT(ISERROR(SEARCH("P",O109)))</formula>
    </cfRule>
  </conditionalFormatting>
  <conditionalFormatting sqref="O112">
    <cfRule type="containsText" dxfId="196" priority="167" stopIfTrue="1" operator="containsText" text="S.A">
      <formula>NOT(ISERROR(SEARCH("S.A",O112)))</formula>
    </cfRule>
    <cfRule type="containsText" dxfId="195" priority="166" stopIfTrue="1" operator="containsText" text="BH">
      <formula>NOT(ISERROR(SEARCH("BH",O112)))</formula>
    </cfRule>
    <cfRule type="containsText" dxfId="194" priority="168" stopIfTrue="1" operator="containsText" text="P">
      <formula>NOT(ISERROR(SEARCH("P",O112)))</formula>
    </cfRule>
    <cfRule type="containsText" dxfId="193" priority="169" stopIfTrue="1" operator="containsText" text="FN">
      <formula>NOT(ISERROR(SEARCH("FN",O112)))</formula>
    </cfRule>
    <cfRule type="containsText" dxfId="192" priority="170" stopIfTrue="1" operator="containsText" text="F">
      <formula>NOT(ISERROR(SEARCH("F",O112)))</formula>
    </cfRule>
  </conditionalFormatting>
  <conditionalFormatting sqref="O115 O108">
    <cfRule type="cellIs" dxfId="191" priority="361" operator="equal">
      <formula>"FJ"</formula>
    </cfRule>
  </conditionalFormatting>
  <conditionalFormatting sqref="O115">
    <cfRule type="cellIs" dxfId="190" priority="360" operator="equal">
      <formula>"F"</formula>
    </cfRule>
    <cfRule type="cellIs" dxfId="189" priority="359" operator="equal">
      <formula>"FN"</formula>
    </cfRule>
    <cfRule type="containsText" dxfId="188" priority="358" operator="containsText" text="FI">
      <formula>NOT(ISERROR(SEARCH("FI",O115)))</formula>
    </cfRule>
  </conditionalFormatting>
  <conditionalFormatting sqref="O115:P115 O108">
    <cfRule type="containsText" dxfId="187" priority="351" operator="containsText" text="fj">
      <formula>NOT(ISERROR(SEARCH("fj",O108)))</formula>
    </cfRule>
    <cfRule type="containsText" dxfId="186" priority="352" operator="containsText" text="FJ">
      <formula>NOT(ISERROR(SEARCH("FJ",O108)))</formula>
    </cfRule>
  </conditionalFormatting>
  <conditionalFormatting sqref="O115:P115">
    <cfRule type="cellIs" dxfId="185" priority="353" operator="equal">
      <formula>"A"</formula>
    </cfRule>
  </conditionalFormatting>
  <conditionalFormatting sqref="O114:Q114">
    <cfRule type="containsText" dxfId="184" priority="190" stopIfTrue="1" operator="containsText" text="FJ">
      <formula>NOT(ISERROR(SEARCH("FJ",O114)))</formula>
    </cfRule>
    <cfRule type="containsText" dxfId="183" priority="189" stopIfTrue="1" operator="containsText" text="P">
      <formula>NOT(ISERROR(SEARCH("P",O114)))</formula>
    </cfRule>
    <cfRule type="containsText" dxfId="182" priority="193" stopIfTrue="1" operator="containsText" text="S">
      <formula>NOT(ISERROR(SEARCH("S",O114)))</formula>
    </cfRule>
    <cfRule type="containsText" dxfId="181" priority="188" stopIfTrue="1" operator="containsText" text="E">
      <formula>NOT(ISERROR(SEARCH("E",O114)))</formula>
    </cfRule>
    <cfRule type="containsText" dxfId="180" priority="187" stopIfTrue="1" operator="containsText" text="T">
      <formula>NOT(ISERROR(SEARCH("T",O114)))</formula>
    </cfRule>
    <cfRule type="containsText" dxfId="179" priority="194" stopIfTrue="1" operator="containsText" text="FN">
      <formula>NOT(ISERROR(SEARCH("FN",O114)))</formula>
    </cfRule>
    <cfRule type="containsText" dxfId="178" priority="192" stopIfTrue="1" operator="containsText" text="BH">
      <formula>NOT(ISERROR(SEARCH("BH",O114)))</formula>
    </cfRule>
    <cfRule type="containsText" dxfId="177" priority="191" stopIfTrue="1" operator="containsText" text="A">
      <formula>NOT(ISERROR(SEARCH("A",O114)))</formula>
    </cfRule>
  </conditionalFormatting>
  <conditionalFormatting sqref="O116:Q116 Q117:Q118">
    <cfRule type="containsText" dxfId="176" priority="271" stopIfTrue="1" operator="containsText" text="FN">
      <formula>NOT(ISERROR(SEARCH("FN",O116)))</formula>
    </cfRule>
    <cfRule type="containsText" dxfId="175" priority="270" stopIfTrue="1" operator="containsText" text="S">
      <formula>NOT(ISERROR(SEARCH("S",O116)))</formula>
    </cfRule>
  </conditionalFormatting>
  <conditionalFormatting sqref="O122:AS122">
    <cfRule type="containsText" dxfId="174" priority="433" operator="containsText" text="28">
      <formula>NOT(ISERROR(SEARCH("28",O122)))</formula>
    </cfRule>
  </conditionalFormatting>
  <conditionalFormatting sqref="O123:AS129">
    <cfRule type="beginsWith" dxfId="173" priority="432" operator="beginsWith" text="10">
      <formula>LEFT(O123,LEN("10"))="10"</formula>
    </cfRule>
  </conditionalFormatting>
  <conditionalFormatting sqref="P6:P28 P30:P46">
    <cfRule type="containsText" dxfId="172" priority="219" stopIfTrue="1" operator="containsText" text="T">
      <formula>NOT(ISERROR(SEARCH("T",P6)))</formula>
    </cfRule>
    <cfRule type="containsText" dxfId="171" priority="220" stopIfTrue="1" operator="containsText" text="E">
      <formula>NOT(ISERROR(SEARCH("E",P6)))</formula>
    </cfRule>
    <cfRule type="containsText" dxfId="170" priority="221" stopIfTrue="1" operator="containsText" text="P">
      <formula>NOT(ISERROR(SEARCH("P",P6)))</formula>
    </cfRule>
    <cfRule type="containsText" dxfId="169" priority="222" stopIfTrue="1" operator="containsText" text="FJ">
      <formula>NOT(ISERROR(SEARCH("FJ",P6)))</formula>
    </cfRule>
    <cfRule type="containsText" dxfId="168" priority="223" stopIfTrue="1" operator="containsText" text="A">
      <formula>NOT(ISERROR(SEARCH("A",P6)))</formula>
    </cfRule>
    <cfRule type="containsText" dxfId="167" priority="224" stopIfTrue="1" operator="containsText" text="BH">
      <formula>NOT(ISERROR(SEARCH("BH",P6)))</formula>
    </cfRule>
    <cfRule type="containsText" dxfId="166" priority="225" stopIfTrue="1" operator="containsText" text="S">
      <formula>NOT(ISERROR(SEARCH("S",P6)))</formula>
    </cfRule>
    <cfRule type="containsText" dxfId="165" priority="226" stopIfTrue="1" operator="containsText" text="FN">
      <formula>NOT(ISERROR(SEARCH("FN",P6)))</formula>
    </cfRule>
  </conditionalFormatting>
  <conditionalFormatting sqref="P29">
    <cfRule type="containsText" dxfId="164" priority="47" stopIfTrue="1" operator="containsText" text="S.A">
      <formula>NOT(ISERROR(SEARCH("S.A",P29)))</formula>
    </cfRule>
    <cfRule type="containsText" dxfId="163" priority="48" stopIfTrue="1" operator="containsText" text="P">
      <formula>NOT(ISERROR(SEARCH("P",P29)))</formula>
    </cfRule>
    <cfRule type="containsText" dxfId="162" priority="49" stopIfTrue="1" operator="containsText" text="FN">
      <formula>NOT(ISERROR(SEARCH("FN",P29)))</formula>
    </cfRule>
    <cfRule type="containsText" dxfId="161" priority="50" stopIfTrue="1" operator="containsText" text="F">
      <formula>NOT(ISERROR(SEARCH("F",P29)))</formula>
    </cfRule>
    <cfRule type="containsText" dxfId="160" priority="46" stopIfTrue="1" operator="containsText" text="BH">
      <formula>NOT(ISERROR(SEARCH("BH",P29)))</formula>
    </cfRule>
  </conditionalFormatting>
  <conditionalFormatting sqref="P47">
    <cfRule type="containsText" dxfId="159" priority="341" operator="containsText" text="fj">
      <formula>NOT(ISERROR(SEARCH("fj",P47)))</formula>
    </cfRule>
    <cfRule type="containsText" dxfId="158" priority="342" operator="containsText" text="FJ">
      <formula>NOT(ISERROR(SEARCH("FJ",P47)))</formula>
    </cfRule>
    <cfRule type="containsText" dxfId="157" priority="343" operator="containsText" text="FI">
      <formula>NOT(ISERROR(SEARCH("FI",P47)))</formula>
    </cfRule>
    <cfRule type="cellIs" dxfId="156" priority="347" operator="equal">
      <formula>"F"</formula>
    </cfRule>
    <cfRule type="cellIs" dxfId="155" priority="346" operator="equal">
      <formula>"A"</formula>
    </cfRule>
    <cfRule type="cellIs" dxfId="154" priority="345" operator="equal">
      <formula>"P"</formula>
    </cfRule>
    <cfRule type="cellIs" dxfId="153" priority="344" operator="equal">
      <formula>"FN"</formula>
    </cfRule>
  </conditionalFormatting>
  <conditionalFormatting sqref="P48 P50:P51">
    <cfRule type="containsText" dxfId="152" priority="230" stopIfTrue="1" operator="containsText" text="FJ">
      <formula>NOT(ISERROR(SEARCH("FJ",P48)))</formula>
    </cfRule>
    <cfRule type="containsText" dxfId="151" priority="231" stopIfTrue="1" operator="containsText" text="A">
      <formula>NOT(ISERROR(SEARCH("A",P48)))</formula>
    </cfRule>
    <cfRule type="containsText" dxfId="150" priority="233" stopIfTrue="1" operator="containsText" text="S">
      <formula>NOT(ISERROR(SEARCH("S",P48)))</formula>
    </cfRule>
    <cfRule type="containsText" dxfId="149" priority="234" stopIfTrue="1" operator="containsText" text="FN">
      <formula>NOT(ISERROR(SEARCH("FN",P48)))</formula>
    </cfRule>
    <cfRule type="containsText" dxfId="148" priority="232" stopIfTrue="1" operator="containsText" text="BH">
      <formula>NOT(ISERROR(SEARCH("BH",P48)))</formula>
    </cfRule>
  </conditionalFormatting>
  <conditionalFormatting sqref="P48">
    <cfRule type="containsText" dxfId="147" priority="228" stopIfTrue="1" operator="containsText" text="E">
      <formula>NOT(ISERROR(SEARCH("E",P48)))</formula>
    </cfRule>
    <cfRule type="containsText" dxfId="146" priority="227" stopIfTrue="1" operator="containsText" text="T">
      <formula>NOT(ISERROR(SEARCH("T",P48)))</formula>
    </cfRule>
    <cfRule type="containsText" dxfId="145" priority="229" stopIfTrue="1" operator="containsText" text="P">
      <formula>NOT(ISERROR(SEARCH("P",P48)))</formula>
    </cfRule>
  </conditionalFormatting>
  <conditionalFormatting sqref="P49">
    <cfRule type="containsText" dxfId="144" priority="65" stopIfTrue="1" operator="containsText" text="F">
      <formula>NOT(ISERROR(SEARCH("F",P49)))</formula>
    </cfRule>
    <cfRule type="containsText" dxfId="143" priority="64" stopIfTrue="1" operator="containsText" text="FN">
      <formula>NOT(ISERROR(SEARCH("FN",P49)))</formula>
    </cfRule>
    <cfRule type="containsText" dxfId="142" priority="62" stopIfTrue="1" operator="containsText" text="S.A">
      <formula>NOT(ISERROR(SEARCH("S.A",P49)))</formula>
    </cfRule>
    <cfRule type="containsText" dxfId="141" priority="61" stopIfTrue="1" operator="containsText" text="BH">
      <formula>NOT(ISERROR(SEARCH("BH",P49)))</formula>
    </cfRule>
  </conditionalFormatting>
  <conditionalFormatting sqref="P49:P51">
    <cfRule type="containsText" dxfId="140" priority="63" stopIfTrue="1" operator="containsText" text="P">
      <formula>NOT(ISERROR(SEARCH("P",P49)))</formula>
    </cfRule>
  </conditionalFormatting>
  <conditionalFormatting sqref="P53:P54">
    <cfRule type="containsText" dxfId="139" priority="286" stopIfTrue="1" operator="containsText" text="S">
      <formula>NOT(ISERROR(SEARCH("S",P53)))</formula>
    </cfRule>
    <cfRule type="containsText" dxfId="138" priority="287" stopIfTrue="1" operator="containsText" text="FN">
      <formula>NOT(ISERROR(SEARCH("FN",P53)))</formula>
    </cfRule>
  </conditionalFormatting>
  <conditionalFormatting sqref="P56:P68">
    <cfRule type="containsText" dxfId="137" priority="279" stopIfTrue="1" operator="containsText" text="FN">
      <formula>NOT(ISERROR(SEARCH("FN",P56)))</formula>
    </cfRule>
    <cfRule type="containsText" dxfId="136" priority="278" stopIfTrue="1" operator="containsText" text="S">
      <formula>NOT(ISERROR(SEARCH("S",P56)))</formula>
    </cfRule>
  </conditionalFormatting>
  <conditionalFormatting sqref="P115 P47">
    <cfRule type="cellIs" dxfId="135" priority="350" operator="equal">
      <formula>"FJ"</formula>
    </cfRule>
  </conditionalFormatting>
  <conditionalFormatting sqref="P115">
    <cfRule type="containsText" dxfId="134" priority="348" operator="containsText" text="FI">
      <formula>NOT(ISERROR(SEARCH("FI",P115)))</formula>
    </cfRule>
    <cfRule type="cellIs" dxfId="133" priority="349" operator="equal">
      <formula>"F"</formula>
    </cfRule>
  </conditionalFormatting>
  <conditionalFormatting sqref="P69:Q93 O94:Q94 P95:Q109 P111 P112:Q113">
    <cfRule type="containsText" dxfId="132" priority="203" stopIfTrue="1" operator="containsText" text="T">
      <formula>NOT(ISERROR(SEARCH("T",O69)))</formula>
    </cfRule>
    <cfRule type="containsText" dxfId="131" priority="204" stopIfTrue="1" operator="containsText" text="E">
      <formula>NOT(ISERROR(SEARCH("E",O69)))</formula>
    </cfRule>
  </conditionalFormatting>
  <conditionalFormatting sqref="P69:Q109 P111 P112:Q113">
    <cfRule type="containsText" dxfId="130" priority="208" stopIfTrue="1" operator="containsText" text="BH">
      <formula>NOT(ISERROR(SEARCH("BH",P69)))</formula>
    </cfRule>
    <cfRule type="containsText" dxfId="129" priority="207" stopIfTrue="1" operator="containsText" text="A">
      <formula>NOT(ISERROR(SEARCH("A",P69)))</formula>
    </cfRule>
    <cfRule type="containsText" dxfId="128" priority="206" stopIfTrue="1" operator="containsText" text="FJ">
      <formula>NOT(ISERROR(SEARCH("FJ",P69)))</formula>
    </cfRule>
    <cfRule type="containsText" dxfId="127" priority="205" stopIfTrue="1" operator="containsText" text="P">
      <formula>NOT(ISERROR(SEARCH("P",P69)))</formula>
    </cfRule>
  </conditionalFormatting>
  <conditionalFormatting sqref="P115:Q115">
    <cfRule type="cellIs" dxfId="126" priority="330" operator="equal">
      <formula>"FN"</formula>
    </cfRule>
    <cfRule type="cellIs" dxfId="125" priority="338" operator="equal">
      <formula>"F"</formula>
    </cfRule>
    <cfRule type="cellIs" dxfId="124" priority="335" operator="equal">
      <formula>"A"</formula>
    </cfRule>
    <cfRule type="cellIs" dxfId="123" priority="339" operator="equal">
      <formula>"FJ"</formula>
    </cfRule>
    <cfRule type="cellIs" dxfId="122" priority="340" operator="equal">
      <formula>"P"</formula>
    </cfRule>
  </conditionalFormatting>
  <conditionalFormatting sqref="Q6:Q27 Q29:Q40 Q42:Q58">
    <cfRule type="containsText" dxfId="121" priority="218" stopIfTrue="1" operator="containsText" text="FN">
      <formula>NOT(ISERROR(SEARCH("FN",Q6)))</formula>
    </cfRule>
    <cfRule type="containsText" dxfId="120" priority="217" stopIfTrue="1" operator="containsText" text="S">
      <formula>NOT(ISERROR(SEARCH("S",Q6)))</formula>
    </cfRule>
  </conditionalFormatting>
  <conditionalFormatting sqref="Q6:Q27 Q29:Q40 Q42:Q68">
    <cfRule type="containsText" dxfId="119" priority="214" stopIfTrue="1" operator="containsText" text="FJ">
      <formula>NOT(ISERROR(SEARCH("FJ",Q6)))</formula>
    </cfRule>
    <cfRule type="containsText" dxfId="118" priority="213" stopIfTrue="1" operator="containsText" text="P">
      <formula>NOT(ISERROR(SEARCH("P",Q6)))</formula>
    </cfRule>
    <cfRule type="containsText" dxfId="117" priority="212" stopIfTrue="1" operator="containsText" text="E">
      <formula>NOT(ISERROR(SEARCH("E",Q6)))</formula>
    </cfRule>
    <cfRule type="containsText" dxfId="116" priority="211" stopIfTrue="1" operator="containsText" text="T">
      <formula>NOT(ISERROR(SEARCH("T",Q6)))</formula>
    </cfRule>
    <cfRule type="containsText" dxfId="115" priority="215" stopIfTrue="1" operator="containsText" text="A">
      <formula>NOT(ISERROR(SEARCH("A",Q6)))</formula>
    </cfRule>
    <cfRule type="containsText" dxfId="114" priority="216" stopIfTrue="1" operator="containsText" text="BH">
      <formula>NOT(ISERROR(SEARCH("BH",Q6)))</formula>
    </cfRule>
  </conditionalFormatting>
  <conditionalFormatting sqref="Q28">
    <cfRule type="containsText" dxfId="113" priority="54" stopIfTrue="1" operator="containsText" text="FN">
      <formula>NOT(ISERROR(SEARCH("FN",Q28)))</formula>
    </cfRule>
    <cfRule type="containsText" dxfId="112" priority="52" stopIfTrue="1" operator="containsText" text="S.A">
      <formula>NOT(ISERROR(SEARCH("S.A",Q28)))</formula>
    </cfRule>
    <cfRule type="containsText" dxfId="111" priority="51" stopIfTrue="1" operator="containsText" text="BH">
      <formula>NOT(ISERROR(SEARCH("BH",Q28)))</formula>
    </cfRule>
    <cfRule type="containsText" dxfId="110" priority="53" stopIfTrue="1" operator="containsText" text="P">
      <formula>NOT(ISERROR(SEARCH("P",Q28)))</formula>
    </cfRule>
    <cfRule type="containsText" dxfId="109" priority="55" stopIfTrue="1" operator="containsText" text="F">
      <formula>NOT(ISERROR(SEARCH("F",Q28)))</formula>
    </cfRule>
  </conditionalFormatting>
  <conditionalFormatting sqref="Q41">
    <cfRule type="containsText" dxfId="108" priority="68" stopIfTrue="1" operator="containsText" text="P">
      <formula>NOT(ISERROR(SEARCH("P",Q41)))</formula>
    </cfRule>
    <cfRule type="containsText" dxfId="107" priority="66" stopIfTrue="1" operator="containsText" text="BH">
      <formula>NOT(ISERROR(SEARCH("BH",Q41)))</formula>
    </cfRule>
    <cfRule type="containsText" dxfId="106" priority="67" stopIfTrue="1" operator="containsText" text="S.A">
      <formula>NOT(ISERROR(SEARCH("S.A",Q41)))</formula>
    </cfRule>
    <cfRule type="containsText" dxfId="105" priority="69" stopIfTrue="1" operator="containsText" text="FN">
      <formula>NOT(ISERROR(SEARCH("FN",Q41)))</formula>
    </cfRule>
    <cfRule type="containsText" dxfId="104" priority="70" stopIfTrue="1" operator="containsText" text="F">
      <formula>NOT(ISERROR(SEARCH("F",Q41)))</formula>
    </cfRule>
  </conditionalFormatting>
  <conditionalFormatting sqref="Q86:Q93 P94:Q94 Q95:Q99 P100:Q109 P111 P112:Q113">
    <cfRule type="containsText" dxfId="103" priority="209" stopIfTrue="1" operator="containsText" text="S">
      <formula>NOT(ISERROR(SEARCH("S",P86)))</formula>
    </cfRule>
  </conditionalFormatting>
  <conditionalFormatting sqref="Q87:Q93 P94:Q94 Q95:Q99 P100:Q109 P111 P112:Q113">
    <cfRule type="containsText" dxfId="102" priority="210" stopIfTrue="1" operator="containsText" text="FN">
      <formula>NOT(ISERROR(SEARCH("FN",P87)))</formula>
    </cfRule>
  </conditionalFormatting>
  <conditionalFormatting sqref="Q111">
    <cfRule type="containsText" dxfId="101" priority="165" stopIfTrue="1" operator="containsText" text="F">
      <formula>NOT(ISERROR(SEARCH("F",Q111)))</formula>
    </cfRule>
    <cfRule type="containsText" dxfId="100" priority="164" stopIfTrue="1" operator="containsText" text="FN">
      <formula>NOT(ISERROR(SEARCH("FN",Q111)))</formula>
    </cfRule>
    <cfRule type="containsText" dxfId="99" priority="163" stopIfTrue="1" operator="containsText" text="P">
      <formula>NOT(ISERROR(SEARCH("P",Q111)))</formula>
    </cfRule>
    <cfRule type="containsText" dxfId="98" priority="162" stopIfTrue="1" operator="containsText" text="S.A">
      <formula>NOT(ISERROR(SEARCH("S.A",Q111)))</formula>
    </cfRule>
    <cfRule type="containsText" dxfId="97" priority="161" stopIfTrue="1" operator="containsText" text="BH">
      <formula>NOT(ISERROR(SEARCH("BH",Q111)))</formula>
    </cfRule>
  </conditionalFormatting>
  <conditionalFormatting sqref="Q115">
    <cfRule type="cellIs" dxfId="96" priority="331" operator="equal">
      <formula>"FJ"</formula>
    </cfRule>
    <cfRule type="cellIs" dxfId="95" priority="329" operator="equal">
      <formula>"P"</formula>
    </cfRule>
    <cfRule type="cellIs" dxfId="94" priority="337" operator="equal">
      <formula>"FN"</formula>
    </cfRule>
    <cfRule type="containsText" dxfId="93" priority="336" operator="containsText" text="FI">
      <formula>NOT(ISERROR(SEARCH("FI",Q115)))</formula>
    </cfRule>
    <cfRule type="containsText" dxfId="92" priority="334" operator="containsText" text="FJ">
      <formula>NOT(ISERROR(SEARCH("FJ",Q115)))</formula>
    </cfRule>
    <cfRule type="containsText" dxfId="91" priority="333" operator="containsText" text="fj">
      <formula>NOT(ISERROR(SEARCH("fj",Q115)))</formula>
    </cfRule>
    <cfRule type="cellIs" dxfId="90" priority="332" operator="equal">
      <formula>"F"</formula>
    </cfRule>
  </conditionalFormatting>
  <conditionalFormatting sqref="R6:U109">
    <cfRule type="containsText" dxfId="89" priority="177" stopIfTrue="1" operator="containsText" text="S">
      <formula>NOT(ISERROR(SEARCH("S",R6)))</formula>
    </cfRule>
    <cfRule type="containsText" dxfId="88" priority="176" stopIfTrue="1" operator="containsText" text="BH">
      <formula>NOT(ISERROR(SEARCH("BH",R6)))</formula>
    </cfRule>
    <cfRule type="containsText" dxfId="87" priority="175" stopIfTrue="1" operator="containsText" text="A">
      <formula>NOT(ISERROR(SEARCH("A",R6)))</formula>
    </cfRule>
    <cfRule type="containsText" dxfId="86" priority="174" stopIfTrue="1" operator="containsText" text="FJ">
      <formula>NOT(ISERROR(SEARCH("FJ",R6)))</formula>
    </cfRule>
    <cfRule type="containsText" dxfId="85" priority="171" stopIfTrue="1" operator="containsText" text="T">
      <formula>NOT(ISERROR(SEARCH("T",R6)))</formula>
    </cfRule>
    <cfRule type="containsText" dxfId="84" priority="172" stopIfTrue="1" operator="containsText" text="E">
      <formula>NOT(ISERROR(SEARCH("E",R6)))</formula>
    </cfRule>
    <cfRule type="containsText" dxfId="83" priority="173" stopIfTrue="1" operator="containsText" text="P">
      <formula>NOT(ISERROR(SEARCH("P",R6)))</formula>
    </cfRule>
    <cfRule type="containsText" dxfId="82" priority="178" stopIfTrue="1" operator="containsText" text="FN">
      <formula>NOT(ISERROR(SEARCH("FN",R6)))</formula>
    </cfRule>
  </conditionalFormatting>
  <conditionalFormatting sqref="R111:U111">
    <cfRule type="containsText" dxfId="81" priority="253" stopIfTrue="1" operator="containsText" text="BH">
      <formula>NOT(ISERROR(SEARCH("BH",R111)))</formula>
    </cfRule>
    <cfRule type="containsText" dxfId="80" priority="254" stopIfTrue="1" operator="containsText" text="S">
      <formula>NOT(ISERROR(SEARCH("S",R111)))</formula>
    </cfRule>
    <cfRule type="containsText" dxfId="79" priority="251" stopIfTrue="1" operator="containsText" text="FJ">
      <formula>NOT(ISERROR(SEARCH("FJ",R111)))</formula>
    </cfRule>
    <cfRule type="containsText" dxfId="78" priority="255" stopIfTrue="1" operator="containsText" text="FN">
      <formula>NOT(ISERROR(SEARCH("FN",R111)))</formula>
    </cfRule>
    <cfRule type="containsText" dxfId="77" priority="248" stopIfTrue="1" operator="containsText" text="T">
      <formula>NOT(ISERROR(SEARCH("T",R111)))</formula>
    </cfRule>
    <cfRule type="containsText" dxfId="76" priority="250" stopIfTrue="1" operator="containsText" text="P">
      <formula>NOT(ISERROR(SEARCH("P",R111)))</formula>
    </cfRule>
    <cfRule type="containsText" dxfId="75" priority="249" stopIfTrue="1" operator="containsText" text="E">
      <formula>NOT(ISERROR(SEARCH("E",R111)))</formula>
    </cfRule>
    <cfRule type="containsText" dxfId="74" priority="252" stopIfTrue="1" operator="containsText" text="A">
      <formula>NOT(ISERROR(SEARCH("A",R111)))</formula>
    </cfRule>
  </conditionalFormatting>
  <conditionalFormatting sqref="R112:V118">
    <cfRule type="containsText" dxfId="73" priority="186" stopIfTrue="1" operator="containsText" text="FN">
      <formula>NOT(ISERROR(SEARCH("FN",R112)))</formula>
    </cfRule>
    <cfRule type="containsText" dxfId="72" priority="185" stopIfTrue="1" operator="containsText" text="S">
      <formula>NOT(ISERROR(SEARCH("S",R112)))</formula>
    </cfRule>
    <cfRule type="containsText" dxfId="71" priority="184" stopIfTrue="1" operator="containsText" text="BH">
      <formula>NOT(ISERROR(SEARCH("BH",R112)))</formula>
    </cfRule>
    <cfRule type="containsText" dxfId="70" priority="183" stopIfTrue="1" operator="containsText" text="A">
      <formula>NOT(ISERROR(SEARCH("A",R112)))</formula>
    </cfRule>
    <cfRule type="containsText" dxfId="69" priority="181" stopIfTrue="1" operator="containsText" text="P">
      <formula>NOT(ISERROR(SEARCH("P",R112)))</formula>
    </cfRule>
    <cfRule type="containsText" dxfId="68" priority="180" stopIfTrue="1" operator="containsText" text="E">
      <formula>NOT(ISERROR(SEARCH("E",R112)))</formula>
    </cfRule>
    <cfRule type="containsText" dxfId="67" priority="179" stopIfTrue="1" operator="containsText" text="T">
      <formula>NOT(ISERROR(SEARCH("T",R112)))</formula>
    </cfRule>
    <cfRule type="containsText" dxfId="66" priority="182" stopIfTrue="1" operator="containsText" text="FJ">
      <formula>NOT(ISERROR(SEARCH("FJ",R112)))</formula>
    </cfRule>
  </conditionalFormatting>
  <conditionalFormatting sqref="V61:V62">
    <cfRule type="containsText" dxfId="65" priority="82" stopIfTrue="1" operator="containsText" text="S.A">
      <formula>NOT(ISERROR(SEARCH("S.A",V61)))</formula>
    </cfRule>
    <cfRule type="containsText" dxfId="64" priority="83" stopIfTrue="1" operator="containsText" text="P">
      <formula>NOT(ISERROR(SEARCH("P",V61)))</formula>
    </cfRule>
    <cfRule type="containsText" dxfId="63" priority="81" stopIfTrue="1" operator="containsText" text="BH">
      <formula>NOT(ISERROR(SEARCH("BH",V61)))</formula>
    </cfRule>
    <cfRule type="containsText" dxfId="62" priority="84" stopIfTrue="1" operator="containsText" text="FN">
      <formula>NOT(ISERROR(SEARCH("FN",V61)))</formula>
    </cfRule>
    <cfRule type="containsText" dxfId="61" priority="85" stopIfTrue="1" operator="containsText" text="F">
      <formula>NOT(ISERROR(SEARCH("F",V61)))</formula>
    </cfRule>
  </conditionalFormatting>
  <conditionalFormatting sqref="V93">
    <cfRule type="containsText" dxfId="60" priority="140" stopIfTrue="1" operator="containsText" text="F">
      <formula>NOT(ISERROR(SEARCH("F",V93)))</formula>
    </cfRule>
    <cfRule type="containsText" dxfId="59" priority="139" stopIfTrue="1" operator="containsText" text="FN">
      <formula>NOT(ISERROR(SEARCH("FN",V93)))</formula>
    </cfRule>
    <cfRule type="containsText" dxfId="58" priority="138" stopIfTrue="1" operator="containsText" text="P">
      <formula>NOT(ISERROR(SEARCH("P",V93)))</formula>
    </cfRule>
    <cfRule type="containsText" dxfId="57" priority="137" stopIfTrue="1" operator="containsText" text="S.A">
      <formula>NOT(ISERROR(SEARCH("S.A",V93)))</formula>
    </cfRule>
    <cfRule type="containsText" dxfId="56" priority="136" stopIfTrue="1" operator="containsText" text="BH">
      <formula>NOT(ISERROR(SEARCH("BH",V93)))</formula>
    </cfRule>
  </conditionalFormatting>
  <conditionalFormatting sqref="V95">
    <cfRule type="containsText" dxfId="55" priority="123" stopIfTrue="1" operator="containsText" text="P">
      <formula>NOT(ISERROR(SEARCH("P",V95)))</formula>
    </cfRule>
    <cfRule type="containsText" dxfId="54" priority="125" stopIfTrue="1" operator="containsText" text="F">
      <formula>NOT(ISERROR(SEARCH("F",V95)))</formula>
    </cfRule>
    <cfRule type="containsText" dxfId="53" priority="122" stopIfTrue="1" operator="containsText" text="S.A">
      <formula>NOT(ISERROR(SEARCH("S.A",V95)))</formula>
    </cfRule>
    <cfRule type="containsText" dxfId="52" priority="124" stopIfTrue="1" operator="containsText" text="FN">
      <formula>NOT(ISERROR(SEARCH("FN",V95)))</formula>
    </cfRule>
    <cfRule type="containsText" dxfId="51" priority="121" stopIfTrue="1" operator="containsText" text="BH">
      <formula>NOT(ISERROR(SEARCH("BH",V95)))</formula>
    </cfRule>
  </conditionalFormatting>
  <conditionalFormatting sqref="V41:W41">
    <cfRule type="containsText" dxfId="50" priority="75" stopIfTrue="1" operator="containsText" text="F">
      <formula>NOT(ISERROR(SEARCH("F",V41)))</formula>
    </cfRule>
    <cfRule type="containsText" dxfId="49" priority="74" stopIfTrue="1" operator="containsText" text="FN">
      <formula>NOT(ISERROR(SEARCH("FN",V41)))</formula>
    </cfRule>
    <cfRule type="containsText" dxfId="48" priority="73" stopIfTrue="1" operator="containsText" text="P">
      <formula>NOT(ISERROR(SEARCH("P",V41)))</formula>
    </cfRule>
    <cfRule type="containsText" dxfId="47" priority="71" stopIfTrue="1" operator="containsText" text="BH">
      <formula>NOT(ISERROR(SEARCH("BH",V41)))</formula>
    </cfRule>
    <cfRule type="containsText" dxfId="46" priority="72" stopIfTrue="1" operator="containsText" text="S.A">
      <formula>NOT(ISERROR(SEARCH("S.A",V41)))</formula>
    </cfRule>
  </conditionalFormatting>
  <conditionalFormatting sqref="V111:W111">
    <cfRule type="containsText" dxfId="45" priority="39" stopIfTrue="1" operator="containsText" text="FN">
      <formula>NOT(ISERROR(SEARCH("FN",V111)))</formula>
    </cfRule>
    <cfRule type="containsText" dxfId="44" priority="40" stopIfTrue="1" operator="containsText" text="F">
      <formula>NOT(ISERROR(SEARCH("F",V111)))</formula>
    </cfRule>
    <cfRule type="containsText" dxfId="43" priority="38" stopIfTrue="1" operator="containsText" text="P">
      <formula>NOT(ISERROR(SEARCH("P",V111)))</formula>
    </cfRule>
    <cfRule type="containsText" dxfId="42" priority="37" stopIfTrue="1" operator="containsText" text="S.A">
      <formula>NOT(ISERROR(SEARCH("S.A",V111)))</formula>
    </cfRule>
    <cfRule type="containsText" dxfId="41" priority="36" stopIfTrue="1" operator="containsText" text="BH">
      <formula>NOT(ISERROR(SEARCH("BH",V111)))</formula>
    </cfRule>
  </conditionalFormatting>
  <conditionalFormatting sqref="V6:AS7 O6:O18 V8:W40 X8:AS118 O20:O93 V42:W60 P52 P55 Q59:Q68 W61 V63:W92 P69:Q76 Q77:Q86 P77:P93 W93 V94:W94 W95 O95:P99 V96:W109 O117:P118">
    <cfRule type="containsText" dxfId="40" priority="242" stopIfTrue="1" operator="containsText" text="FN">
      <formula>NOT(ISERROR(SEARCH("FN",O6)))</formula>
    </cfRule>
  </conditionalFormatting>
  <conditionalFormatting sqref="V6:AS7 V8:W40 X8:AS118 V42:W60 W61 V63:W92 W93 V94:W94 W95 V96:W109 Q59:Q68 P69:Q76 Q77:Q85 P77:P93 O95:P99 O6:O18 O20:O93 P52 P55 O117:P118">
    <cfRule type="containsText" dxfId="39" priority="241" stopIfTrue="1" operator="containsText" text="S">
      <formula>NOT(ISERROR(SEARCH("S",O6)))</formula>
    </cfRule>
  </conditionalFormatting>
  <conditionalFormatting sqref="V6:AS7 V8:W40 X8:AS118 V42:W60 W61 V63:W92 W93 V94:W94 W95 V96:W109">
    <cfRule type="containsText" dxfId="38" priority="240" stopIfTrue="1" operator="containsText" text="BH">
      <formula>NOT(ISERROR(SEARCH("BH",V6)))</formula>
    </cfRule>
    <cfRule type="containsText" dxfId="37" priority="238" stopIfTrue="1" operator="containsText" text="FJ">
      <formula>NOT(ISERROR(SEARCH("FJ",V6)))</formula>
    </cfRule>
    <cfRule type="containsText" dxfId="36" priority="236" stopIfTrue="1" operator="containsText" text="E">
      <formula>NOT(ISERROR(SEARCH("E",V6)))</formula>
    </cfRule>
    <cfRule type="containsText" dxfId="35" priority="239" stopIfTrue="1" operator="containsText" text="A">
      <formula>NOT(ISERROR(SEARCH("A",V6)))</formula>
    </cfRule>
    <cfRule type="containsText" dxfId="34" priority="235" stopIfTrue="1" operator="containsText" text="T">
      <formula>NOT(ISERROR(SEARCH("T",V6)))</formula>
    </cfRule>
    <cfRule type="containsText" dxfId="33" priority="237" stopIfTrue="1" operator="containsText" text="P">
      <formula>NOT(ISERROR(SEARCH("P",V6)))</formula>
    </cfRule>
  </conditionalFormatting>
  <conditionalFormatting sqref="W62">
    <cfRule type="containsText" dxfId="32" priority="79" stopIfTrue="1" operator="containsText" text="FN">
      <formula>NOT(ISERROR(SEARCH("FN",W62)))</formula>
    </cfRule>
    <cfRule type="containsText" dxfId="31" priority="78" stopIfTrue="1" operator="containsText" text="P">
      <formula>NOT(ISERROR(SEARCH("P",W62)))</formula>
    </cfRule>
    <cfRule type="containsText" dxfId="30" priority="76" stopIfTrue="1" operator="containsText" text="BH">
      <formula>NOT(ISERROR(SEARCH("BH",W62)))</formula>
    </cfRule>
    <cfRule type="containsText" dxfId="29" priority="77" stopIfTrue="1" operator="containsText" text="S.A">
      <formula>NOT(ISERROR(SEARCH("S.A",W62)))</formula>
    </cfRule>
    <cfRule type="containsText" dxfId="28" priority="80" stopIfTrue="1" operator="containsText" text="F">
      <formula>NOT(ISERROR(SEARCH("F",W62)))</formula>
    </cfRule>
  </conditionalFormatting>
  <conditionalFormatting sqref="W112:W113">
    <cfRule type="containsText" dxfId="27" priority="244" stopIfTrue="1" operator="containsText" text="A">
      <formula>NOT(ISERROR(SEARCH("A",W112)))</formula>
    </cfRule>
    <cfRule type="containsText" dxfId="26" priority="243" stopIfTrue="1" operator="containsText" text="FJ">
      <formula>NOT(ISERROR(SEARCH("FJ",W112)))</formula>
    </cfRule>
    <cfRule type="containsText" dxfId="25" priority="247" stopIfTrue="1" operator="containsText" text="FN">
      <formula>NOT(ISERROR(SEARCH("FN",W112)))</formula>
    </cfRule>
    <cfRule type="containsText" dxfId="24" priority="10" stopIfTrue="1" operator="containsText" text="E">
      <formula>NOT(ISERROR(SEARCH("E",W112)))</formula>
    </cfRule>
    <cfRule type="containsText" dxfId="23" priority="9" stopIfTrue="1" operator="containsText" text="T">
      <formula>NOT(ISERROR(SEARCH("T",W112)))</formula>
    </cfRule>
    <cfRule type="containsText" dxfId="22" priority="246" stopIfTrue="1" operator="containsText" text="S">
      <formula>NOT(ISERROR(SEARCH("S",W112)))</formula>
    </cfRule>
    <cfRule type="containsText" dxfId="21" priority="245" stopIfTrue="1" operator="containsText" text="BH">
      <formula>NOT(ISERROR(SEARCH("BH",W112)))</formula>
    </cfRule>
  </conditionalFormatting>
  <conditionalFormatting sqref="W112:W114">
    <cfRule type="containsText" dxfId="20" priority="28" stopIfTrue="1" operator="containsText" text="P">
      <formula>NOT(ISERROR(SEARCH("P",W112)))</formula>
    </cfRule>
  </conditionalFormatting>
  <conditionalFormatting sqref="W114">
    <cfRule type="containsText" dxfId="19" priority="30" stopIfTrue="1" operator="containsText" text="F">
      <formula>NOT(ISERROR(SEARCH("F",W114)))</formula>
    </cfRule>
    <cfRule type="containsText" dxfId="18" priority="29" stopIfTrue="1" operator="containsText" text="FN">
      <formula>NOT(ISERROR(SEARCH("FN",W114)))</formula>
    </cfRule>
    <cfRule type="containsText" dxfId="17" priority="27" stopIfTrue="1" operator="containsText" text="S.A">
      <formula>NOT(ISERROR(SEARCH("S.A",W114)))</formula>
    </cfRule>
    <cfRule type="containsText" dxfId="16" priority="14" stopIfTrue="1" operator="containsText" text="BH">
      <formula>NOT(ISERROR(SEARCH("BH",W114)))</formula>
    </cfRule>
  </conditionalFormatting>
  <conditionalFormatting sqref="W115">
    <cfRule type="cellIs" dxfId="15" priority="320" operator="equal">
      <formula>"FN"</formula>
    </cfRule>
    <cfRule type="containsText" dxfId="14" priority="321" operator="containsText" text="FI">
      <formula>NOT(ISERROR(SEARCH("FI",W115)))</formula>
    </cfRule>
    <cfRule type="cellIs" dxfId="13" priority="322" operator="equal">
      <formula>"FJ"</formula>
    </cfRule>
    <cfRule type="cellIs" dxfId="12" priority="323" operator="equal">
      <formula>"F"</formula>
    </cfRule>
    <cfRule type="cellIs" dxfId="11" priority="324" operator="equal">
      <formula>"P"</formula>
    </cfRule>
    <cfRule type="containsText" dxfId="10" priority="326" operator="containsText" text="fj">
      <formula>NOT(ISERROR(SEARCH("fj",W115)))</formula>
    </cfRule>
    <cfRule type="containsText" dxfId="9" priority="327" operator="containsText" text="FJ">
      <formula>NOT(ISERROR(SEARCH("FJ",W115)))</formula>
    </cfRule>
    <cfRule type="cellIs" dxfId="8" priority="325" operator="equal">
      <formula>"A"</formula>
    </cfRule>
  </conditionalFormatting>
  <conditionalFormatting sqref="W116:W118">
    <cfRule type="containsText" dxfId="7" priority="262" stopIfTrue="1" operator="containsText" text="S">
      <formula>NOT(ISERROR(SEARCH("S",W116)))</formula>
    </cfRule>
    <cfRule type="containsText" dxfId="6" priority="263" stopIfTrue="1" operator="containsText" text="FN">
      <formula>NOT(ISERROR(SEARCH("FN",W116)))</formula>
    </cfRule>
    <cfRule type="containsText" dxfId="5" priority="257" stopIfTrue="1" operator="containsText" text="E">
      <formula>NOT(ISERROR(SEARCH("E",W116)))</formula>
    </cfRule>
    <cfRule type="containsText" dxfId="4" priority="256" stopIfTrue="1" operator="containsText" text="T">
      <formula>NOT(ISERROR(SEARCH("T",W116)))</formula>
    </cfRule>
    <cfRule type="containsText" dxfId="3" priority="259" stopIfTrue="1" operator="containsText" text="FJ">
      <formula>NOT(ISERROR(SEARCH("FJ",W116)))</formula>
    </cfRule>
    <cfRule type="containsText" dxfId="2" priority="258" stopIfTrue="1" operator="containsText" text="P">
      <formula>NOT(ISERROR(SEARCH("P",W116)))</formula>
    </cfRule>
    <cfRule type="containsText" dxfId="1" priority="260" stopIfTrue="1" operator="containsText" text="A">
      <formula>NOT(ISERROR(SEARCH("A",W116)))</formula>
    </cfRule>
    <cfRule type="containsText" dxfId="0" priority="261" stopIfTrue="1" operator="containsText" text="BH">
      <formula>NOT(ISERROR(SEARCH("BH",W116)))</formula>
    </cfRule>
  </conditionalFormatting>
  <pageMargins left="0.511811024" right="0.511811024" top="0.78740157499999996" bottom="0.78740157499999996" header="0.31496062000000002" footer="0.31496062000000002"/>
  <pageSetup paperSize="11" scale="26" orientation="landscape" r:id="rId1"/>
  <ignoredErrors>
    <ignoredError sqref="O122:O127 P122:Z129 AA123:AS129 AA122:AQ122" formulaRange="1"/>
  </ignoredErrors>
  <drawing r:id="rId2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Maia Aline</dc:creator>
  <cp:keywords/>
  <dc:description/>
  <cp:lastModifiedBy>Martins Lucas</cp:lastModifiedBy>
  <cp:revision/>
  <dcterms:created xsi:type="dcterms:W3CDTF">2022-12-19T13:28:35Z</dcterms:created>
  <dcterms:modified xsi:type="dcterms:W3CDTF">2026-07-07T13:37:51Z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f2ec83-e677-438d-afb7-4c7c0dbc872b_Enabled">
    <vt:lpwstr>true</vt:lpwstr>
  </property>
  <property fmtid="{D5CDD505-2E9C-101B-9397-08002B2CF9AE}" pid="3" name="MSIP_Label_a7f2ec83-e677-438d-afb7-4c7c0dbc872b_SetDate">
    <vt:lpwstr>2023-10-03T10:13:40Z</vt:lpwstr>
  </property>
  <property fmtid="{D5CDD505-2E9C-101B-9397-08002B2CF9AE}" pid="4" name="MSIP_Label_a7f2ec83-e677-438d-afb7-4c7c0dbc872b_Method">
    <vt:lpwstr>Standard</vt:lpwstr>
  </property>
  <property fmtid="{D5CDD505-2E9C-101B-9397-08002B2CF9AE}" pid="5" name="MSIP_Label_a7f2ec83-e677-438d-afb7-4c7c0dbc872b_Name">
    <vt:lpwstr>a7f2ec83-e677-438d-afb7-4c7c0dbc872b</vt:lpwstr>
  </property>
  <property fmtid="{D5CDD505-2E9C-101B-9397-08002B2CF9AE}" pid="6" name="MSIP_Label_a7f2ec83-e677-438d-afb7-4c7c0dbc872b_SiteId">
    <vt:lpwstr>3bc062e4-ac9d-4c17-b4dd-3aad637ff1ac</vt:lpwstr>
  </property>
  <property fmtid="{D5CDD505-2E9C-101B-9397-08002B2CF9AE}" pid="7" name="MSIP_Label_a7f2ec83-e677-438d-afb7-4c7c0dbc872b_ActionId">
    <vt:lpwstr>c21b3e1a-8a56-490e-bcf0-fb3f057edd53</vt:lpwstr>
  </property>
  <property fmtid="{D5CDD505-2E9C-101B-9397-08002B2CF9AE}" pid="8" name="MSIP_Label_a7f2ec83-e677-438d-afb7-4c7c0dbc872b_ContentBits">
    <vt:lpwstr>0</vt:lpwstr>
  </property>
</Properties>
</file>